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DevSecOps\Développement\Databox\Mobile-office\VSHS\components\relevebatiment-form\"/>
    </mc:Choice>
  </mc:AlternateContent>
  <xr:revisionPtr revIDLastSave="0" documentId="13_ncr:1_{5EF8852F-E380-420D-83AE-03CA6ADCF233}" xr6:coauthVersionLast="47" xr6:coauthVersionMax="47" xr10:uidLastSave="{00000000-0000-0000-0000-000000000000}"/>
  <bookViews>
    <workbookView xWindow="345" yWindow="345" windowWidth="32610" windowHeight="17265" xr2:uid="{00000000-000D-0000-FFFF-FFFF00000000}"/>
  </bookViews>
  <sheets>
    <sheet name="Prise de mesures" sheetId="13" r:id="rId1"/>
    <sheet name="BDD" sheetId="6" r:id="rId2"/>
    <sheet name="BDD_1" sheetId="14" r:id="rId3"/>
    <sheet name="BDD_2" sheetId="16" r:id="rId4"/>
  </sheets>
  <functionGroups builtInGroupCount="19"/>
  <externalReferences>
    <externalReference r:id="rId5"/>
    <externalReference r:id="rId6"/>
  </externalReferences>
  <definedNames>
    <definedName name="PUISSANCE_CRETE_MW">[1]Description!$G$17</definedName>
    <definedName name="_xlnm.Print_Area" localSheetId="0">'Prise de mesures'!$A$6:$H$20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6" l="1"/>
  <c r="F47" i="14"/>
  <c r="E47" i="14"/>
  <c r="D47" i="14"/>
  <c r="C47" i="14"/>
  <c r="B47" i="14"/>
  <c r="F46" i="14"/>
  <c r="E46" i="14"/>
  <c r="D46" i="14"/>
  <c r="C46" i="14"/>
  <c r="B46" i="14"/>
  <c r="F45" i="14"/>
  <c r="E45" i="14"/>
  <c r="D45" i="14"/>
  <c r="C45" i="14"/>
  <c r="B45" i="14"/>
  <c r="F44" i="14"/>
  <c r="E44" i="14"/>
  <c r="D44" i="14"/>
  <c r="C44" i="14"/>
  <c r="B44" i="14"/>
  <c r="F43" i="14"/>
  <c r="E43" i="14"/>
  <c r="D43" i="14"/>
  <c r="C43" i="14"/>
  <c r="B43" i="14"/>
  <c r="F42" i="14"/>
  <c r="E42" i="14"/>
  <c r="D42" i="14"/>
  <c r="C42" i="14"/>
  <c r="B42" i="14"/>
  <c r="F41" i="14"/>
  <c r="E41" i="14"/>
  <c r="D41" i="14"/>
  <c r="C41" i="14"/>
  <c r="B41" i="14"/>
  <c r="F40" i="14"/>
  <c r="E40" i="14"/>
  <c r="D40" i="14"/>
  <c r="C40" i="14"/>
  <c r="B40" i="14"/>
  <c r="F39" i="14"/>
  <c r="E39" i="14"/>
  <c r="D39" i="14"/>
  <c r="C39" i="14"/>
  <c r="B39" i="14"/>
  <c r="F38" i="14"/>
  <c r="E38" i="14"/>
  <c r="D38" i="14"/>
  <c r="C38" i="14"/>
  <c r="B38" i="14"/>
  <c r="F37" i="14"/>
  <c r="E37" i="14"/>
  <c r="D37" i="14"/>
  <c r="C37" i="14"/>
  <c r="B37" i="14"/>
  <c r="F36" i="14"/>
  <c r="E36" i="14"/>
  <c r="D36" i="14"/>
  <c r="C36" i="14"/>
  <c r="B36" i="14"/>
  <c r="F35" i="14"/>
  <c r="E35" i="14"/>
  <c r="D35" i="14"/>
  <c r="C35" i="14"/>
  <c r="B35" i="14"/>
  <c r="F34" i="14"/>
  <c r="E34" i="14"/>
  <c r="D34" i="14"/>
  <c r="C34" i="14"/>
  <c r="B34" i="14"/>
  <c r="F33" i="14"/>
  <c r="E33" i="14"/>
  <c r="D33" i="14"/>
  <c r="C33" i="14"/>
  <c r="B33" i="14"/>
  <c r="N32" i="14"/>
  <c r="M32" i="14"/>
  <c r="L32" i="14"/>
  <c r="K32" i="14"/>
  <c r="J32" i="14"/>
  <c r="I32" i="14"/>
  <c r="H32" i="14"/>
  <c r="F32" i="14"/>
  <c r="E32" i="14"/>
  <c r="D32" i="14"/>
  <c r="C32" i="14"/>
  <c r="B32" i="14"/>
  <c r="N31" i="14"/>
  <c r="M31" i="14"/>
  <c r="L31" i="14"/>
  <c r="K31" i="14"/>
  <c r="J31" i="14"/>
  <c r="I31" i="14"/>
  <c r="H31" i="14"/>
  <c r="F31" i="14"/>
  <c r="E31" i="14"/>
  <c r="D31" i="14"/>
  <c r="C31" i="14"/>
  <c r="B31" i="14"/>
  <c r="N30" i="14"/>
  <c r="M30" i="14"/>
  <c r="L30" i="14"/>
  <c r="K30" i="14"/>
  <c r="J30" i="14"/>
  <c r="I30" i="14"/>
  <c r="H30" i="14"/>
  <c r="F30" i="14"/>
  <c r="E30" i="14"/>
  <c r="D30" i="14"/>
  <c r="C30" i="14"/>
  <c r="B30" i="14"/>
  <c r="N29" i="14"/>
  <c r="M29" i="14"/>
  <c r="L29" i="14"/>
  <c r="K29" i="14"/>
  <c r="J29" i="14"/>
  <c r="I29" i="14"/>
  <c r="H29" i="14"/>
  <c r="F29" i="14"/>
  <c r="E29" i="14"/>
  <c r="D29" i="14"/>
  <c r="C29" i="14"/>
  <c r="B29" i="14"/>
  <c r="N28" i="14"/>
  <c r="M28" i="14"/>
  <c r="L28" i="14"/>
  <c r="K28" i="14"/>
  <c r="J28" i="14"/>
  <c r="I28" i="14"/>
  <c r="H28" i="14"/>
  <c r="F28" i="14"/>
  <c r="E28" i="14"/>
  <c r="D28" i="14"/>
  <c r="C28" i="14"/>
  <c r="B28" i="14"/>
  <c r="N27" i="14"/>
  <c r="M27" i="14"/>
  <c r="L27" i="14"/>
  <c r="K27" i="14"/>
  <c r="J27" i="14"/>
  <c r="I27" i="14"/>
  <c r="H27" i="14"/>
  <c r="F27" i="14"/>
  <c r="E27" i="14"/>
  <c r="D27" i="14"/>
  <c r="C27" i="14"/>
  <c r="B27" i="14"/>
  <c r="N26" i="14"/>
  <c r="M26" i="14"/>
  <c r="L26" i="14"/>
  <c r="K26" i="14"/>
  <c r="J26" i="14"/>
  <c r="I26" i="14"/>
  <c r="H26" i="14"/>
  <c r="F26" i="14"/>
  <c r="E26" i="14"/>
  <c r="D26" i="14"/>
  <c r="C26" i="14"/>
  <c r="B26" i="14"/>
  <c r="N25" i="14"/>
  <c r="M25" i="14"/>
  <c r="L25" i="14"/>
  <c r="K25" i="14"/>
  <c r="J25" i="14"/>
  <c r="I25" i="14"/>
  <c r="H25" i="14"/>
  <c r="F25" i="14"/>
  <c r="E25" i="14"/>
  <c r="D25" i="14"/>
  <c r="C25" i="14"/>
  <c r="B25" i="14"/>
  <c r="N24" i="14"/>
  <c r="M24" i="14"/>
  <c r="L24" i="14"/>
  <c r="K24" i="14"/>
  <c r="J24" i="14"/>
  <c r="I24" i="14"/>
  <c r="H24" i="14"/>
  <c r="F24" i="14"/>
  <c r="E24" i="14"/>
  <c r="D24" i="14"/>
  <c r="C24" i="14"/>
  <c r="B24" i="14"/>
  <c r="N23" i="14"/>
  <c r="M23" i="14"/>
  <c r="L23" i="14"/>
  <c r="K23" i="14"/>
  <c r="J23" i="14"/>
  <c r="I23" i="14"/>
  <c r="H23" i="14"/>
  <c r="F23" i="14"/>
  <c r="E23" i="14"/>
  <c r="D23" i="14"/>
  <c r="C23" i="14"/>
  <c r="B23" i="14"/>
  <c r="N22" i="14"/>
  <c r="M22" i="14"/>
  <c r="L22" i="14"/>
  <c r="K22" i="14"/>
  <c r="J22" i="14"/>
  <c r="I22" i="14"/>
  <c r="H22" i="14"/>
  <c r="F22" i="14"/>
  <c r="E22" i="14"/>
  <c r="D22" i="14"/>
  <c r="C22" i="14"/>
  <c r="B22" i="14"/>
  <c r="N21" i="14"/>
  <c r="M21" i="14"/>
  <c r="L21" i="14"/>
  <c r="K21" i="14"/>
  <c r="J21" i="14"/>
  <c r="I21" i="14"/>
  <c r="H21" i="14"/>
  <c r="F21" i="14"/>
  <c r="E21" i="14"/>
  <c r="D21" i="14"/>
  <c r="C21" i="14"/>
  <c r="B21" i="14"/>
  <c r="R20" i="14"/>
  <c r="Q20" i="14"/>
  <c r="P20" i="14"/>
  <c r="N20" i="14"/>
  <c r="M20" i="14"/>
  <c r="L20" i="14"/>
  <c r="K20" i="14"/>
  <c r="J20" i="14"/>
  <c r="I20" i="14"/>
  <c r="H20" i="14"/>
  <c r="F20" i="14"/>
  <c r="E20" i="14"/>
  <c r="D20" i="14"/>
  <c r="C20" i="14"/>
  <c r="B20" i="14"/>
  <c r="R19" i="14"/>
  <c r="Q19" i="14"/>
  <c r="P19" i="14"/>
  <c r="N19" i="14"/>
  <c r="M19" i="14"/>
  <c r="L19" i="14"/>
  <c r="K19" i="14"/>
  <c r="J19" i="14"/>
  <c r="I19" i="14"/>
  <c r="H19" i="14"/>
  <c r="F19" i="14"/>
  <c r="E19" i="14"/>
  <c r="D19" i="14"/>
  <c r="C19" i="14"/>
  <c r="B19" i="14"/>
  <c r="R18" i="14"/>
  <c r="Q18" i="14"/>
  <c r="P18" i="14"/>
  <c r="N18" i="14"/>
  <c r="M18" i="14"/>
  <c r="L18" i="14"/>
  <c r="K18" i="14"/>
  <c r="J18" i="14"/>
  <c r="I18" i="14"/>
  <c r="H18" i="14"/>
  <c r="F18" i="14"/>
  <c r="E18" i="14"/>
  <c r="D18" i="14"/>
  <c r="C18" i="14"/>
  <c r="B18" i="14"/>
  <c r="R17" i="14"/>
  <c r="Q17" i="14"/>
  <c r="P17" i="14"/>
  <c r="N17" i="14"/>
  <c r="M17" i="14"/>
  <c r="L17" i="14"/>
  <c r="K17" i="14"/>
  <c r="J17" i="14"/>
  <c r="I17" i="14"/>
  <c r="H17" i="14"/>
  <c r="F17" i="14"/>
  <c r="E17" i="14"/>
  <c r="D17" i="14"/>
  <c r="C17" i="14"/>
  <c r="B17" i="14"/>
  <c r="R16" i="14"/>
  <c r="Q16" i="14"/>
  <c r="P16" i="14"/>
  <c r="N16" i="14"/>
  <c r="M16" i="14"/>
  <c r="L16" i="14"/>
  <c r="K16" i="14"/>
  <c r="J16" i="14"/>
  <c r="I16" i="14"/>
  <c r="H16" i="14"/>
  <c r="F16" i="14"/>
  <c r="E16" i="14"/>
  <c r="D16" i="14"/>
  <c r="C16" i="14"/>
  <c r="B16" i="14"/>
  <c r="R15" i="14"/>
  <c r="Q15" i="14"/>
  <c r="P15" i="14"/>
  <c r="N15" i="14"/>
  <c r="M15" i="14"/>
  <c r="L15" i="14"/>
  <c r="K15" i="14"/>
  <c r="J15" i="14"/>
  <c r="I15" i="14"/>
  <c r="H15" i="14"/>
  <c r="F15" i="14"/>
  <c r="E15" i="14"/>
  <c r="D15" i="14"/>
  <c r="C15" i="14"/>
  <c r="B15" i="14"/>
  <c r="R14" i="14"/>
  <c r="Q14" i="14"/>
  <c r="P14" i="14"/>
  <c r="N14" i="14"/>
  <c r="M14" i="14"/>
  <c r="L14" i="14"/>
  <c r="K14" i="14"/>
  <c r="J14" i="14"/>
  <c r="I14" i="14"/>
  <c r="H14" i="14"/>
  <c r="F14" i="14"/>
  <c r="E14" i="14"/>
  <c r="D14" i="14"/>
  <c r="C14" i="14"/>
  <c r="B14" i="14"/>
  <c r="R13" i="14"/>
  <c r="Q13" i="14"/>
  <c r="P13" i="14"/>
  <c r="N13" i="14"/>
  <c r="M13" i="14"/>
  <c r="L13" i="14"/>
  <c r="K13" i="14"/>
  <c r="J13" i="14"/>
  <c r="I13" i="14"/>
  <c r="H13" i="14"/>
  <c r="F13" i="14"/>
  <c r="E13" i="14"/>
  <c r="D13" i="14"/>
  <c r="C13" i="14"/>
  <c r="B13" i="14"/>
  <c r="R12" i="14"/>
  <c r="Q12" i="14"/>
  <c r="P12" i="14"/>
  <c r="N12" i="14"/>
  <c r="M12" i="14"/>
  <c r="L12" i="14"/>
  <c r="K12" i="14"/>
  <c r="J12" i="14"/>
  <c r="I12" i="14"/>
  <c r="H12" i="14"/>
  <c r="F12" i="14"/>
  <c r="E12" i="14"/>
  <c r="D12" i="14"/>
  <c r="C12" i="14"/>
  <c r="B12" i="14"/>
  <c r="R11" i="14"/>
  <c r="Q11" i="14"/>
  <c r="P11" i="14"/>
  <c r="N11" i="14"/>
  <c r="M11" i="14"/>
  <c r="L11" i="14"/>
  <c r="K11" i="14"/>
  <c r="J11" i="14"/>
  <c r="I11" i="14"/>
  <c r="H11" i="14"/>
  <c r="F11" i="14"/>
  <c r="E11" i="14"/>
  <c r="D11" i="14"/>
  <c r="C11" i="14"/>
  <c r="B11" i="14"/>
  <c r="R10" i="14"/>
  <c r="Q10" i="14"/>
  <c r="P10" i="14"/>
  <c r="N10" i="14"/>
  <c r="M10" i="14"/>
  <c r="L10" i="14"/>
  <c r="K10" i="14"/>
  <c r="J10" i="14"/>
  <c r="I10" i="14"/>
  <c r="H10" i="14"/>
  <c r="F10" i="14"/>
  <c r="E10" i="14"/>
  <c r="D10" i="14"/>
  <c r="C10" i="14"/>
  <c r="B10" i="14"/>
  <c r="R9" i="14"/>
  <c r="Q9" i="14"/>
  <c r="P9" i="14"/>
  <c r="N9" i="14"/>
  <c r="M9" i="14"/>
  <c r="L9" i="14"/>
  <c r="K9" i="14"/>
  <c r="J9" i="14"/>
  <c r="I9" i="14"/>
  <c r="H9" i="14"/>
  <c r="F9" i="14"/>
  <c r="E9" i="14"/>
  <c r="D9" i="14"/>
  <c r="C9" i="14"/>
  <c r="B9" i="14"/>
  <c r="AD8" i="14"/>
  <c r="R8" i="14"/>
  <c r="Q8" i="14"/>
  <c r="P8" i="14"/>
  <c r="N8" i="14"/>
  <c r="M8" i="14"/>
  <c r="L8" i="14"/>
  <c r="K8" i="14"/>
  <c r="J8" i="14"/>
  <c r="I8" i="14"/>
  <c r="H8" i="14"/>
  <c r="F8" i="14"/>
  <c r="E8" i="14"/>
  <c r="D8" i="14"/>
  <c r="C8" i="14"/>
  <c r="B8" i="14"/>
  <c r="AD7" i="14"/>
  <c r="R7" i="14"/>
  <c r="Q7" i="14"/>
  <c r="P7" i="14"/>
  <c r="N7" i="14"/>
  <c r="M7" i="14"/>
  <c r="L7" i="14"/>
  <c r="K7" i="14"/>
  <c r="J7" i="14"/>
  <c r="I7" i="14"/>
  <c r="H7" i="14"/>
  <c r="F7" i="14"/>
  <c r="E7" i="14"/>
  <c r="D7" i="14"/>
  <c r="C7" i="14"/>
  <c r="B7" i="14"/>
  <c r="AD6" i="14"/>
  <c r="R6" i="14"/>
  <c r="Q6" i="14"/>
  <c r="P6" i="14"/>
  <c r="N6" i="14"/>
  <c r="M6" i="14"/>
  <c r="L6" i="14"/>
  <c r="K6" i="14"/>
  <c r="J6" i="14"/>
  <c r="I6" i="14"/>
  <c r="H6" i="14"/>
  <c r="F6" i="14"/>
  <c r="E6" i="14"/>
  <c r="D6" i="14"/>
  <c r="C6" i="14"/>
  <c r="B6" i="14"/>
  <c r="AD5" i="14"/>
  <c r="R5" i="14"/>
  <c r="Q5" i="14"/>
  <c r="P5" i="14"/>
  <c r="N5" i="14"/>
  <c r="M5" i="14"/>
  <c r="L5" i="14"/>
  <c r="K5" i="14"/>
  <c r="J5" i="14"/>
  <c r="I5" i="14"/>
  <c r="H5" i="14"/>
  <c r="F5" i="14"/>
  <c r="E5" i="14"/>
  <c r="D5" i="14"/>
  <c r="C5" i="14"/>
  <c r="B5" i="14"/>
  <c r="AD4" i="14"/>
  <c r="R4" i="14"/>
  <c r="Q4" i="14"/>
  <c r="P4" i="14"/>
  <c r="N4" i="14"/>
  <c r="M4" i="14"/>
  <c r="L4" i="14"/>
  <c r="K4" i="14"/>
  <c r="J4" i="14"/>
  <c r="I4" i="14"/>
  <c r="H4" i="14"/>
  <c r="F4" i="14"/>
  <c r="E4" i="14"/>
  <c r="D4" i="14"/>
  <c r="C4" i="14"/>
  <c r="B4" i="14"/>
  <c r="AD3" i="14"/>
  <c r="T3" i="14"/>
  <c r="R3" i="14"/>
  <c r="Q3" i="14"/>
  <c r="P3" i="14"/>
  <c r="N3" i="14"/>
  <c r="M3" i="14"/>
  <c r="L3" i="14"/>
  <c r="K3" i="14"/>
  <c r="J3" i="14"/>
  <c r="I3" i="14"/>
  <c r="H3" i="14"/>
  <c r="F3" i="14"/>
  <c r="E3" i="14"/>
  <c r="D3" i="14"/>
  <c r="C3" i="14"/>
  <c r="B3" i="14"/>
  <c r="AD2" i="14"/>
  <c r="T2" i="14"/>
  <c r="R2" i="14"/>
  <c r="Q2" i="14"/>
  <c r="P2" i="14"/>
  <c r="N2" i="14"/>
  <c r="M2" i="14"/>
  <c r="L2" i="14"/>
  <c r="K2" i="14"/>
  <c r="J2" i="14"/>
  <c r="I2" i="14"/>
  <c r="H2" i="14"/>
  <c r="F2" i="14"/>
  <c r="E2" i="14"/>
  <c r="D2" i="14"/>
  <c r="C2" i="14"/>
  <c r="B2" i="14"/>
</calcChain>
</file>

<file path=xl/sharedStrings.xml><?xml version="1.0" encoding="utf-8"?>
<sst xmlns="http://schemas.openxmlformats.org/spreadsheetml/2006/main" count="175" uniqueCount="175">
  <si>
    <t>JoursDePointe</t>
  </si>
  <si>
    <t>AliasEtude</t>
  </si>
  <si>
    <t>JP</t>
  </si>
  <si>
    <t>HiverEte</t>
  </si>
  <si>
    <t>HCHP</t>
  </si>
  <si>
    <t>DateDepart</t>
  </si>
  <si>
    <t>Date02</t>
  </si>
  <si>
    <t>Date01</t>
  </si>
  <si>
    <t>Date03</t>
  </si>
  <si>
    <t>Date04</t>
  </si>
  <si>
    <t>Date05</t>
  </si>
  <si>
    <t>Date06</t>
  </si>
  <si>
    <t>Date07</t>
  </si>
  <si>
    <t>Date08</t>
  </si>
  <si>
    <t>Date09</t>
  </si>
  <si>
    <t>Date10</t>
  </si>
  <si>
    <t>Date11</t>
  </si>
  <si>
    <t>Date12</t>
  </si>
  <si>
    <t>ConsoHPH01</t>
  </si>
  <si>
    <t>ConsoHCH02</t>
  </si>
  <si>
    <t>ConsoHCH01</t>
  </si>
  <si>
    <t>ConsoHPE01</t>
  </si>
  <si>
    <t>ConsoHCE01</t>
  </si>
  <si>
    <t>ConsoJP01</t>
  </si>
  <si>
    <t>NbJours01</t>
  </si>
  <si>
    <t>Total01</t>
  </si>
  <si>
    <t>ConsoHPH02</t>
  </si>
  <si>
    <t>ConsoHPE02</t>
  </si>
  <si>
    <t>ConsoHCE02</t>
  </si>
  <si>
    <t>ConsoJP02</t>
  </si>
  <si>
    <t>NbJours02</t>
  </si>
  <si>
    <t>Total02</t>
  </si>
  <si>
    <t>ConsoHPH03</t>
  </si>
  <si>
    <t>ConsoHCH03</t>
  </si>
  <si>
    <t>ConsoHPE03</t>
  </si>
  <si>
    <t>ConsoHCE03</t>
  </si>
  <si>
    <t>ConsoJP03</t>
  </si>
  <si>
    <t>NbJours03</t>
  </si>
  <si>
    <t>Total03</t>
  </si>
  <si>
    <t>ConsoHPH04</t>
  </si>
  <si>
    <t>ConsoHCH04</t>
  </si>
  <si>
    <t>ConsoHPE04</t>
  </si>
  <si>
    <t>ConsoHCE04</t>
  </si>
  <si>
    <t>ConsoJP04</t>
  </si>
  <si>
    <t>NbJours04</t>
  </si>
  <si>
    <t>Total04</t>
  </si>
  <si>
    <t>ConsoHPH05</t>
  </si>
  <si>
    <t>ConsoHCH05</t>
  </si>
  <si>
    <t>ConsoHPE05</t>
  </si>
  <si>
    <t>ConsoHCE05</t>
  </si>
  <si>
    <t>ConsoJP05</t>
  </si>
  <si>
    <t>NbJours05</t>
  </si>
  <si>
    <t>Total05</t>
  </si>
  <si>
    <t>ConsoHPH06</t>
  </si>
  <si>
    <t>ConsoHCH06</t>
  </si>
  <si>
    <t>ConsoHPE06</t>
  </si>
  <si>
    <t>ConsoHCE06</t>
  </si>
  <si>
    <t>ConsoJP06</t>
  </si>
  <si>
    <t>NbJours06</t>
  </si>
  <si>
    <t>Total06</t>
  </si>
  <si>
    <t>ConsoHPH07</t>
  </si>
  <si>
    <t>ConsoHCH07</t>
  </si>
  <si>
    <t>ConsoHPE07</t>
  </si>
  <si>
    <t>ConsoHCE07</t>
  </si>
  <si>
    <t>ConsoJP07</t>
  </si>
  <si>
    <t>NbJours07</t>
  </si>
  <si>
    <t>Total07</t>
  </si>
  <si>
    <t>ConsoHPH08</t>
  </si>
  <si>
    <t>ConsoHCH08</t>
  </si>
  <si>
    <t>ConsoHPE08</t>
  </si>
  <si>
    <t>ConsoHCE08</t>
  </si>
  <si>
    <t>ConsoJP08</t>
  </si>
  <si>
    <t>NbJours08</t>
  </si>
  <si>
    <t>Total08</t>
  </si>
  <si>
    <t>ConsoHPH09</t>
  </si>
  <si>
    <t>ConsoHCH09</t>
  </si>
  <si>
    <t>ConsoHPE09</t>
  </si>
  <si>
    <t>ConsoHCE09</t>
  </si>
  <si>
    <t>ConsoJP09</t>
  </si>
  <si>
    <t>NbJours09</t>
  </si>
  <si>
    <t>Total09</t>
  </si>
  <si>
    <t>ConsoHPH10</t>
  </si>
  <si>
    <t>ConsoHCH10</t>
  </si>
  <si>
    <t>ConsoHPE10</t>
  </si>
  <si>
    <t>ConsoHCE10</t>
  </si>
  <si>
    <t>ConsoJP10</t>
  </si>
  <si>
    <t>NbJours10</t>
  </si>
  <si>
    <t>Total10</t>
  </si>
  <si>
    <t>ConsoHPH11</t>
  </si>
  <si>
    <t>ConsoHCH11</t>
  </si>
  <si>
    <t>ConsoHPE11</t>
  </si>
  <si>
    <t>ConsoHCE11</t>
  </si>
  <si>
    <t>ConsoJP11</t>
  </si>
  <si>
    <t>NbJours11</t>
  </si>
  <si>
    <t>Total11</t>
  </si>
  <si>
    <t>ConsoHPH12</t>
  </si>
  <si>
    <t>ConsoHCH12</t>
  </si>
  <si>
    <t>ConsoHPE12</t>
  </si>
  <si>
    <t>ConsoHCE12</t>
  </si>
  <si>
    <t>ConsoJP12</t>
  </si>
  <si>
    <t>NbJours12</t>
  </si>
  <si>
    <t>Total12</t>
  </si>
  <si>
    <t>MontantFacture01</t>
  </si>
  <si>
    <t>MontantFacture02</t>
  </si>
  <si>
    <t>MontantFacture03</t>
  </si>
  <si>
    <t>MontantFacture04</t>
  </si>
  <si>
    <t>MontantFacture05</t>
  </si>
  <si>
    <t>MontantFacture06</t>
  </si>
  <si>
    <t>MontantFacture07</t>
  </si>
  <si>
    <t>MontantFacture08</t>
  </si>
  <si>
    <t>MontantFacture09</t>
  </si>
  <si>
    <t>MontantFacture10</t>
  </si>
  <si>
    <t>MontantFacture11</t>
  </si>
  <si>
    <t>MontantFacture12</t>
  </si>
  <si>
    <t>2021</t>
  </si>
  <si>
    <t>Batiment</t>
  </si>
  <si>
    <t>I</t>
  </si>
  <si>
    <t>II</t>
  </si>
  <si>
    <t>III</t>
  </si>
  <si>
    <t>B1 : Longueur</t>
  </si>
  <si>
    <t>B2 : Espacement travée</t>
  </si>
  <si>
    <t>B3 : Espace façade 1ère travée</t>
  </si>
  <si>
    <t># Pan</t>
  </si>
  <si>
    <t>T2: Repose</t>
  </si>
  <si>
    <t>T4: Hauteur goutière</t>
  </si>
  <si>
    <t>P2: Entraxe de pannes</t>
  </si>
  <si>
    <t>P3: Distance pannes goutière</t>
  </si>
  <si>
    <t>Système d'intégration</t>
  </si>
  <si>
    <t>Onduleurs.Modele</t>
  </si>
  <si>
    <t>Onduleurs.Fabricant</t>
  </si>
  <si>
    <t>Onduleurs.Puissance</t>
  </si>
  <si>
    <t>Onduleurs.TaillePO</t>
  </si>
  <si>
    <t>Onduleurs.IccChaine</t>
  </si>
  <si>
    <t>Panneaux.Modele</t>
  </si>
  <si>
    <t>Panneaux.Fabricant</t>
  </si>
  <si>
    <t>Panneaux.Puissance</t>
  </si>
  <si>
    <t>Panneaux.Largeur</t>
  </si>
  <si>
    <t>Panneaux.Longueur</t>
  </si>
  <si>
    <t>Panneaux.UcoMax</t>
  </si>
  <si>
    <t>Panneaux.IccMax</t>
  </si>
  <si>
    <t>Systemes Integration.Designation</t>
  </si>
  <si>
    <t>Systemes Integration.Fournisseur</t>
  </si>
  <si>
    <t>Systemes Integration.MAT</t>
  </si>
  <si>
    <t>SuiviProd.nom</t>
  </si>
  <si>
    <t>Section de câbles</t>
  </si>
  <si>
    <t>Matériaux des câbles</t>
  </si>
  <si>
    <t>Type de câble</t>
  </si>
  <si>
    <t>Charpentes</t>
  </si>
  <si>
    <t>Type Toiture.Description</t>
  </si>
  <si>
    <t>Al</t>
  </si>
  <si>
    <t>TECSUN PV1-F (DC)</t>
  </si>
  <si>
    <t>Acier</t>
  </si>
  <si>
    <t>Cu</t>
  </si>
  <si>
    <t>U-1000 AR2V (CR)</t>
  </si>
  <si>
    <t>Bois</t>
  </si>
  <si>
    <t>U-1000 R2V 5G (CO)</t>
  </si>
  <si>
    <t>H07RNF</t>
  </si>
  <si>
    <t>H07VR (V/J)</t>
  </si>
  <si>
    <t>81 modules Trina Solar Vertex S+ 445Wc:
- mode paysage
- 4 lignes de 17 modules + 1 ligne de 13 modules
1 Onduleur Sungrow SG33CX</t>
  </si>
  <si>
    <t>A</t>
  </si>
  <si>
    <t>Création</t>
  </si>
  <si>
    <t>88 modules Trina Solar 400Wc:
- mode paysage
- 2 fois 4 lignes de 11 modules sure les versants Est et Ouest.
2 onduleurs Fronius 18.5kVA</t>
  </si>
  <si>
    <t>48 modules Trina Solar Vertex S+ 445Wc:
- mode paysage
Micro Onduleurs APSystem DS3-L</t>
  </si>
  <si>
    <t>80 modules Trina Solar Vertex S+ 445Wc:
- mode paysage
- 3 lignes de 16 modules + 2 lignes de 16 modules
1 Onduleur Sungrow SG33CX</t>
  </si>
  <si>
    <r>
      <rPr>
        <sz val="18"/>
        <color theme="1"/>
        <rFont val="Arial"/>
        <family val="2"/>
      </rPr>
      <t xml:space="preserve">□ </t>
    </r>
    <r>
      <rPr>
        <sz val="11"/>
        <color theme="1"/>
        <rFont val="Arial"/>
        <family val="2"/>
      </rPr>
      <t>Largeur et Pente %</t>
    </r>
  </si>
  <si>
    <r>
      <rPr>
        <sz val="18"/>
        <color theme="1"/>
        <rFont val="Arial"/>
        <family val="2"/>
      </rPr>
      <t xml:space="preserve">□ </t>
    </r>
    <r>
      <rPr>
        <sz val="11"/>
        <color theme="1"/>
        <rFont val="Arial"/>
        <family val="2"/>
      </rPr>
      <t>Rampant</t>
    </r>
  </si>
  <si>
    <t>IV</t>
  </si>
  <si>
    <r>
      <t>P1: Pannes (</t>
    </r>
    <r>
      <rPr>
        <sz val="20"/>
        <color theme="1"/>
        <rFont val="Bodoni MT Condensed"/>
        <family val="1"/>
      </rPr>
      <t xml:space="preserve">I Z Bois </t>
    </r>
    <r>
      <rPr>
        <sz val="20"/>
        <color theme="1"/>
        <rFont val="Calibri"/>
        <family val="2"/>
      </rPr>
      <t>Σ</t>
    </r>
    <r>
      <rPr>
        <sz val="11"/>
        <color theme="1"/>
        <rFont val="Arial"/>
        <family val="2"/>
      </rPr>
      <t>)</t>
    </r>
  </si>
  <si>
    <t>T1: Nature toiture</t>
  </si>
  <si>
    <t>T3:</t>
  </si>
  <si>
    <t>V</t>
  </si>
  <si>
    <t>Relevevé des dimensions (à préremplir avec Géoportail)</t>
  </si>
  <si>
    <t>Visa du client</t>
  </si>
  <si>
    <t>Relevé des batiments (a précompléter avec Géoportail)</t>
  </si>
  <si>
    <t>Relévé détaillé de la charpente (Pour le dossier Technique)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</si>
</sst>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-40C]d\ mmm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8"/>
      <color theme="1"/>
      <name val="Arial"/>
      <family val="2"/>
    </font>
    <font>
      <sz val="20"/>
      <color theme="1"/>
      <name val="Bodoni MT Condensed"/>
      <family val="1"/>
    </font>
    <font>
      <sz val="20"/>
      <color theme="1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83CEC1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166" fontId="19" fillId="0" borderId="10" xfId="0" applyNumberFormat="1" applyFont="1" applyBorder="1" applyAlignment="1">
      <alignment horizontal="center" vertical="center"/>
    </xf>
    <xf numFmtId="166" fontId="19" fillId="0" borderId="0" xfId="0" applyNumberFormat="1" applyFont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166" fontId="19" fillId="0" borderId="15" xfId="0" applyNumberFormat="1" applyFont="1" applyBorder="1" applyAlignment="1">
      <alignment horizontal="center" vertical="center"/>
    </xf>
    <xf numFmtId="0" fontId="19" fillId="33" borderId="0" xfId="0" applyFont="1" applyFill="1" applyAlignment="1">
      <alignment vertical="center"/>
    </xf>
    <xf numFmtId="49" fontId="19" fillId="0" borderId="11" xfId="0" applyNumberFormat="1" applyFont="1" applyBorder="1" applyAlignment="1">
      <alignment horizontal="center" vertical="center"/>
    </xf>
    <xf numFmtId="166" fontId="19" fillId="0" borderId="1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0" fontId="19" fillId="0" borderId="0" xfId="0" applyFont="1"/>
    <xf numFmtId="0" fontId="24" fillId="0" borderId="0" xfId="0" applyFont="1"/>
    <xf numFmtId="0" fontId="24" fillId="0" borderId="10" xfId="0" applyFont="1" applyBorder="1" applyAlignment="1" applyProtection="1">
      <alignment horizontal="center" vertical="center"/>
      <protection locked="0"/>
    </xf>
    <xf numFmtId="0" fontId="24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0" fontId="24" fillId="0" borderId="36" xfId="0" applyFont="1" applyBorder="1" applyAlignment="1" applyProtection="1">
      <alignment horizontal="center" vertical="center"/>
      <protection locked="0"/>
    </xf>
    <xf numFmtId="0" fontId="24" fillId="0" borderId="18" xfId="0" applyFont="1" applyBorder="1" applyAlignment="1" applyProtection="1">
      <alignment vertical="center"/>
      <protection locked="0"/>
    </xf>
    <xf numFmtId="0" fontId="24" fillId="0" borderId="29" xfId="0" applyFont="1" applyBorder="1" applyAlignment="1" applyProtection="1">
      <alignment vertical="center"/>
      <protection locked="0"/>
    </xf>
    <xf numFmtId="0" fontId="2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top" wrapText="1"/>
    </xf>
    <xf numFmtId="0" fontId="25" fillId="34" borderId="40" xfId="0" applyFont="1" applyFill="1" applyBorder="1" applyAlignment="1">
      <alignment horizontal="center" vertical="center"/>
    </xf>
    <xf numFmtId="0" fontId="25" fillId="34" borderId="24" xfId="0" applyFont="1" applyFill="1" applyBorder="1" applyAlignment="1">
      <alignment horizontal="center" vertical="center"/>
    </xf>
    <xf numFmtId="0" fontId="24" fillId="0" borderId="39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/>
      <protection locked="0"/>
    </xf>
    <xf numFmtId="0" fontId="24" fillId="0" borderId="28" xfId="0" applyFont="1" applyBorder="1" applyAlignment="1" applyProtection="1">
      <alignment horizontal="center" vertical="center"/>
      <protection locked="0"/>
    </xf>
    <xf numFmtId="0" fontId="25" fillId="34" borderId="28" xfId="0" applyFont="1" applyFill="1" applyBorder="1" applyAlignment="1" applyProtection="1">
      <alignment horizontal="center" vertical="center"/>
      <protection locked="0"/>
    </xf>
    <xf numFmtId="0" fontId="25" fillId="34" borderId="35" xfId="0" applyFont="1" applyFill="1" applyBorder="1" applyAlignment="1" applyProtection="1">
      <alignment horizontal="center" vertical="center"/>
      <protection locked="0"/>
    </xf>
    <xf numFmtId="0" fontId="24" fillId="0" borderId="42" xfId="0" applyFont="1" applyBorder="1" applyAlignment="1" applyProtection="1">
      <alignment vertical="center"/>
      <protection locked="0"/>
    </xf>
    <xf numFmtId="0" fontId="24" fillId="0" borderId="44" xfId="0" applyFont="1" applyBorder="1" applyAlignment="1" applyProtection="1">
      <alignment vertical="center"/>
      <protection locked="0"/>
    </xf>
    <xf numFmtId="0" fontId="22" fillId="0" borderId="32" xfId="42" applyBorder="1" applyAlignment="1" applyProtection="1">
      <alignment vertical="center"/>
      <protection locked="0"/>
    </xf>
    <xf numFmtId="0" fontId="22" fillId="0" borderId="33" xfId="42" applyBorder="1" applyAlignment="1" applyProtection="1">
      <alignment vertical="center"/>
      <protection locked="0"/>
    </xf>
    <xf numFmtId="0" fontId="24" fillId="0" borderId="12" xfId="0" applyFont="1" applyBorder="1" applyAlignment="1" applyProtection="1">
      <alignment vertical="center"/>
      <protection locked="0"/>
    </xf>
    <xf numFmtId="0" fontId="24" fillId="0" borderId="35" xfId="0" applyFont="1" applyBorder="1" applyAlignment="1" applyProtection="1">
      <alignment vertical="center"/>
      <protection locked="0"/>
    </xf>
    <xf numFmtId="0" fontId="24" fillId="0" borderId="19" xfId="0" applyFont="1" applyBorder="1" applyAlignment="1" applyProtection="1">
      <alignment vertical="center"/>
      <protection locked="0"/>
    </xf>
    <xf numFmtId="0" fontId="24" fillId="0" borderId="20" xfId="0" applyFont="1" applyBorder="1" applyAlignment="1" applyProtection="1">
      <alignment vertical="center"/>
      <protection locked="0"/>
    </xf>
    <xf numFmtId="0" fontId="24" fillId="0" borderId="30" xfId="0" applyFont="1" applyBorder="1" applyAlignment="1" applyProtection="1">
      <alignment vertical="top"/>
      <protection locked="0"/>
    </xf>
    <xf numFmtId="0" fontId="24" fillId="0" borderId="31" xfId="0" applyFont="1" applyBorder="1" applyAlignment="1" applyProtection="1">
      <alignment vertical="top"/>
      <protection locked="0"/>
    </xf>
    <xf numFmtId="0" fontId="22" fillId="0" borderId="27" xfId="42" applyBorder="1" applyAlignment="1" applyProtection="1">
      <alignment vertical="center"/>
      <protection locked="0"/>
    </xf>
    <xf numFmtId="0" fontId="22" fillId="0" borderId="34" xfId="42" applyBorder="1" applyAlignment="1" applyProtection="1">
      <alignment vertical="center"/>
      <protection locked="0"/>
    </xf>
    <xf numFmtId="0" fontId="25" fillId="34" borderId="23" xfId="0" applyFont="1" applyFill="1" applyBorder="1" applyAlignment="1">
      <alignment horizontal="center" vertical="center"/>
    </xf>
    <xf numFmtId="14" fontId="24" fillId="0" borderId="24" xfId="0" applyNumberFormat="1" applyFont="1" applyBorder="1" applyAlignment="1" applyProtection="1">
      <alignment horizontal="center" vertical="center"/>
      <protection locked="0"/>
    </xf>
    <xf numFmtId="0" fontId="23" fillId="0" borderId="32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10" xfId="0" applyFont="1" applyBorder="1" applyAlignment="1" applyProtection="1">
      <alignment horizontal="center" vertical="center"/>
      <protection locked="0"/>
    </xf>
    <xf numFmtId="0" fontId="24" fillId="0" borderId="29" xfId="0" applyFont="1" applyBorder="1" applyAlignment="1">
      <alignment horizontal="left" vertical="center"/>
    </xf>
    <xf numFmtId="0" fontId="24" fillId="0" borderId="39" xfId="0" applyFont="1" applyBorder="1" applyAlignment="1">
      <alignment horizontal="left" vertical="center"/>
    </xf>
    <xf numFmtId="0" fontId="24" fillId="0" borderId="39" xfId="0" applyFont="1" applyBorder="1" applyAlignment="1" applyProtection="1">
      <alignment horizontal="center" vertical="center"/>
      <protection locked="0"/>
    </xf>
    <xf numFmtId="0" fontId="25" fillId="34" borderId="36" xfId="0" applyFont="1" applyFill="1" applyBorder="1" applyAlignment="1">
      <alignment horizontal="center" vertical="center"/>
    </xf>
    <xf numFmtId="0" fontId="25" fillId="34" borderId="40" xfId="0" applyFont="1" applyFill="1" applyBorder="1" applyAlignment="1">
      <alignment horizontal="center" vertical="center"/>
    </xf>
    <xf numFmtId="0" fontId="24" fillId="0" borderId="18" xfId="0" applyFont="1" applyBorder="1" applyAlignment="1">
      <alignment horizontal="left" vertical="center"/>
    </xf>
    <xf numFmtId="0" fontId="24" fillId="0" borderId="10" xfId="0" applyFont="1" applyBorder="1" applyAlignment="1">
      <alignment horizontal="left" vertical="center"/>
    </xf>
    <xf numFmtId="0" fontId="23" fillId="0" borderId="46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4" fillId="0" borderId="17" xfId="0" applyFont="1" applyBorder="1" applyAlignment="1">
      <alignment horizontal="left" vertical="center"/>
    </xf>
    <xf numFmtId="0" fontId="24" fillId="0" borderId="22" xfId="0" applyFont="1" applyBorder="1" applyAlignment="1">
      <alignment horizontal="left" vertical="center"/>
    </xf>
    <xf numFmtId="0" fontId="24" fillId="0" borderId="25" xfId="0" applyFont="1" applyBorder="1" applyAlignment="1">
      <alignment horizontal="left" vertical="center"/>
    </xf>
    <xf numFmtId="0" fontId="24" fillId="0" borderId="43" xfId="0" applyFont="1" applyBorder="1" applyAlignment="1">
      <alignment horizontal="left" vertical="center"/>
    </xf>
    <xf numFmtId="0" fontId="24" fillId="0" borderId="15" xfId="0" applyFont="1" applyBorder="1" applyAlignment="1">
      <alignment horizontal="left" vertical="center"/>
    </xf>
    <xf numFmtId="0" fontId="24" fillId="0" borderId="21" xfId="0" applyFont="1" applyBorder="1" applyAlignment="1">
      <alignment horizontal="left" vertical="center"/>
    </xf>
    <xf numFmtId="14" fontId="24" fillId="0" borderId="40" xfId="0" applyNumberFormat="1" applyFont="1" applyBorder="1" applyAlignment="1" applyProtection="1">
      <alignment horizontal="center" vertical="center"/>
      <protection locked="0"/>
    </xf>
    <xf numFmtId="0" fontId="24" fillId="0" borderId="12" xfId="0" applyFont="1" applyBorder="1" applyAlignment="1" applyProtection="1">
      <alignment horizontal="center" vertical="center"/>
      <protection locked="0"/>
    </xf>
    <xf numFmtId="0" fontId="24" fillId="0" borderId="16" xfId="0" applyFont="1" applyBorder="1" applyAlignment="1" applyProtection="1">
      <alignment horizontal="center" vertical="center"/>
      <protection locked="0"/>
    </xf>
    <xf numFmtId="0" fontId="24" fillId="0" borderId="13" xfId="0" applyFont="1" applyBorder="1" applyAlignment="1" applyProtection="1">
      <alignment horizontal="center" vertical="center"/>
      <protection locked="0"/>
    </xf>
    <xf numFmtId="0" fontId="24" fillId="0" borderId="35" xfId="0" applyFont="1" applyBorder="1" applyAlignment="1" applyProtection="1">
      <alignment horizontal="center" vertical="center"/>
      <protection locked="0"/>
    </xf>
    <xf numFmtId="0" fontId="24" fillId="0" borderId="37" xfId="0" applyFont="1" applyBorder="1" applyAlignment="1" applyProtection="1">
      <alignment horizontal="center" vertical="center"/>
      <protection locked="0"/>
    </xf>
    <xf numFmtId="0" fontId="24" fillId="0" borderId="38" xfId="0" applyFont="1" applyBorder="1" applyAlignment="1" applyProtection="1">
      <alignment horizontal="center" vertical="center"/>
      <protection locked="0"/>
    </xf>
    <xf numFmtId="0" fontId="18" fillId="34" borderId="29" xfId="0" applyFont="1" applyFill="1" applyBorder="1" applyAlignment="1">
      <alignment horizontal="center" vertical="center"/>
    </xf>
    <xf numFmtId="0" fontId="18" fillId="34" borderId="39" xfId="0" applyFont="1" applyFill="1" applyBorder="1" applyAlignment="1">
      <alignment horizontal="center" vertic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83CEC1"/>
      <color rgb="FFFFFFFF"/>
      <color rgb="FF6074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vperrier/Downloads/Etude%20productible%20REDEN%20-%20Projet%20PEREZ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13%20-%20MATERIEL\BaseDeDonnes.xlsm" TargetMode="External"/><Relationship Id="rId1" Type="http://schemas.openxmlformats.org/officeDocument/2006/relationships/externalLinkPath" Target="file:///Z:\13%20-%20MATERIEL\BaseDeDonn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arde"/>
      <sheetName val="Sommaire"/>
      <sheetName val="Synthèse"/>
      <sheetName val="Description"/>
      <sheetName val="Météo"/>
      <sheetName val="Paramètres"/>
      <sheetName val="Résultats"/>
      <sheetName val="RésultatsM-Pertes"/>
      <sheetName val="Matériels"/>
      <sheetName val="Nettoyage"/>
      <sheetName val="Glossaire"/>
      <sheetName val="Biblio"/>
      <sheetName val="DATA"/>
      <sheetName val="P90"/>
      <sheetName val="MULTI"/>
      <sheetName val="CSV (1)"/>
      <sheetName val="Modèle"/>
      <sheetName val="AIDE"/>
      <sheetName val="Résultats - Autres"/>
    </sheetNames>
    <sheetDataSet>
      <sheetData sheetId="0"/>
      <sheetData sheetId="1"/>
      <sheetData sheetId="2"/>
      <sheetData sheetId="3">
        <row r="17">
          <cell r="G17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33">
          <cell r="B133">
            <v>0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nneaux"/>
      <sheetName val="Type Module"/>
      <sheetName val="Onduleurs"/>
      <sheetName val="Coffret AC"/>
      <sheetName val="Type Toiture"/>
      <sheetName val="Systemes Integration"/>
      <sheetName val="Monitoring"/>
      <sheetName val="Matériel Electrique"/>
      <sheetName val="Tourets"/>
      <sheetName val="Matériel de Tranchée"/>
      <sheetName val="Longueur CR"/>
      <sheetName val="Longeur CO"/>
      <sheetName val="Formules"/>
      <sheetName val="BaseDeDonnes"/>
    </sheetNames>
    <sheetDataSet>
      <sheetData sheetId="0">
        <row r="2">
          <cell r="B2" t="str">
            <v>DM385M6-60HBW</v>
          </cell>
          <cell r="C2" t="str">
            <v>DMEGC</v>
          </cell>
          <cell r="D2">
            <v>375</v>
          </cell>
          <cell r="E2">
            <v>1038</v>
          </cell>
          <cell r="F2">
            <v>1755</v>
          </cell>
          <cell r="H2"/>
          <cell r="I2"/>
        </row>
        <row r="3">
          <cell r="B3" t="str">
            <v>DM405M10-50HBW-V</v>
          </cell>
          <cell r="C3" t="str">
            <v>DMEGC</v>
          </cell>
          <cell r="D3">
            <v>405</v>
          </cell>
          <cell r="E3">
            <v>1134</v>
          </cell>
          <cell r="F3">
            <v>1722</v>
          </cell>
          <cell r="H3"/>
          <cell r="I3"/>
        </row>
        <row r="4">
          <cell r="B4" t="str">
            <v>DM410M10-54HBW</v>
          </cell>
          <cell r="C4" t="str">
            <v>DMEGC</v>
          </cell>
          <cell r="D4">
            <v>410</v>
          </cell>
          <cell r="E4">
            <v>1134</v>
          </cell>
          <cell r="F4">
            <v>1722</v>
          </cell>
          <cell r="H4"/>
          <cell r="I4"/>
        </row>
        <row r="5">
          <cell r="B5" t="str">
            <v>DM415M10-54HBW</v>
          </cell>
          <cell r="C5" t="str">
            <v>DMEGC</v>
          </cell>
          <cell r="D5">
            <v>415</v>
          </cell>
          <cell r="E5">
            <v>1134</v>
          </cell>
          <cell r="F5">
            <v>1722</v>
          </cell>
          <cell r="H5"/>
          <cell r="I5"/>
        </row>
        <row r="6">
          <cell r="B6" t="str">
            <v>DM450M10RT-54HSW/HBW</v>
          </cell>
          <cell r="C6" t="str">
            <v>DMEGC</v>
          </cell>
          <cell r="D6">
            <v>450</v>
          </cell>
          <cell r="E6">
            <v>1134</v>
          </cell>
          <cell r="F6">
            <v>1762</v>
          </cell>
          <cell r="H6">
            <v>33.24</v>
          </cell>
          <cell r="I6">
            <v>13.96</v>
          </cell>
        </row>
        <row r="7">
          <cell r="B7" t="str">
            <v>DM460M6-72HSW/-V</v>
          </cell>
          <cell r="C7" t="str">
            <v>DMEGC</v>
          </cell>
          <cell r="D7">
            <v>455</v>
          </cell>
          <cell r="E7">
            <v>1038</v>
          </cell>
          <cell r="F7">
            <v>2094</v>
          </cell>
          <cell r="H7"/>
          <cell r="I7"/>
        </row>
        <row r="8">
          <cell r="B8" t="str">
            <v>DM500M10RT-B60HBT</v>
          </cell>
          <cell r="C8" t="str">
            <v>DMEGC</v>
          </cell>
          <cell r="D8">
            <v>500</v>
          </cell>
          <cell r="E8">
            <v>1134</v>
          </cell>
          <cell r="F8">
            <v>1950</v>
          </cell>
          <cell r="H8">
            <v>44.22</v>
          </cell>
          <cell r="I8">
            <v>14.04</v>
          </cell>
        </row>
        <row r="9">
          <cell r="B9" t="str">
            <v>DN-BT108N</v>
          </cell>
          <cell r="C9" t="str">
            <v>DUONERGY</v>
          </cell>
          <cell r="D9">
            <v>410</v>
          </cell>
          <cell r="E9">
            <v>1134</v>
          </cell>
          <cell r="F9">
            <v>1728</v>
          </cell>
          <cell r="H9"/>
          <cell r="I9"/>
        </row>
        <row r="10">
          <cell r="B10" t="str">
            <v>DUOMAX TWIN 365</v>
          </cell>
          <cell r="C10" t="str">
            <v>TRINA SOLAR</v>
          </cell>
          <cell r="D10">
            <v>365</v>
          </cell>
          <cell r="E10">
            <v>1046</v>
          </cell>
          <cell r="F10">
            <v>1773</v>
          </cell>
          <cell r="H10"/>
          <cell r="I10"/>
        </row>
        <row r="11">
          <cell r="B11" t="str">
            <v>FLASH 405 HC WHITE</v>
          </cell>
          <cell r="C11" t="str">
            <v>DUALSUN</v>
          </cell>
          <cell r="D11">
            <v>405</v>
          </cell>
          <cell r="E11">
            <v>1134</v>
          </cell>
          <cell r="F11">
            <v>1708</v>
          </cell>
          <cell r="H11"/>
          <cell r="I11"/>
        </row>
        <row r="12">
          <cell r="B12" t="str">
            <v>JAM54S30-405/MR</v>
          </cell>
          <cell r="C12" t="str">
            <v>JA SOLAR</v>
          </cell>
          <cell r="D12">
            <v>405</v>
          </cell>
          <cell r="E12">
            <v>1134</v>
          </cell>
          <cell r="F12">
            <v>1722</v>
          </cell>
          <cell r="H12"/>
          <cell r="I12"/>
        </row>
        <row r="13">
          <cell r="B13" t="str">
            <v>JAM60S10-345</v>
          </cell>
          <cell r="C13" t="str">
            <v>JA SOLAR</v>
          </cell>
          <cell r="D13">
            <v>345</v>
          </cell>
          <cell r="H13"/>
          <cell r="I13"/>
        </row>
        <row r="14">
          <cell r="B14" t="str">
            <v>JKM450N-54HL4R</v>
          </cell>
          <cell r="C14" t="str">
            <v>JINKO SOLAR</v>
          </cell>
          <cell r="D14">
            <v>450</v>
          </cell>
          <cell r="E14">
            <v>1134</v>
          </cell>
          <cell r="F14">
            <v>1762</v>
          </cell>
          <cell r="H14">
            <v>39.78</v>
          </cell>
          <cell r="I14">
            <v>14</v>
          </cell>
        </row>
        <row r="15">
          <cell r="B15" t="str">
            <v>JW-HD120N-370</v>
          </cell>
          <cell r="C15" t="str">
            <v>JOLYWOOD</v>
          </cell>
          <cell r="D15">
            <v>370</v>
          </cell>
          <cell r="E15">
            <v>1042</v>
          </cell>
          <cell r="F15">
            <v>1768</v>
          </cell>
          <cell r="H15"/>
          <cell r="I15"/>
        </row>
        <row r="16">
          <cell r="B16" t="str">
            <v>LR4-60HIH-375M</v>
          </cell>
          <cell r="C16" t="str">
            <v>LONGI</v>
          </cell>
          <cell r="D16">
            <v>375</v>
          </cell>
          <cell r="E16">
            <v>1038</v>
          </cell>
          <cell r="F16">
            <v>1755</v>
          </cell>
          <cell r="H16"/>
          <cell r="I16"/>
        </row>
        <row r="17">
          <cell r="B17" t="str">
            <v>LR5-54HIH-405M</v>
          </cell>
          <cell r="C17" t="str">
            <v>LONGI</v>
          </cell>
          <cell r="D17">
            <v>405</v>
          </cell>
          <cell r="E17">
            <v>1134</v>
          </cell>
          <cell r="F17">
            <v>1722</v>
          </cell>
          <cell r="H17"/>
          <cell r="I17"/>
        </row>
        <row r="18">
          <cell r="B18" t="str">
            <v>MODELE DEPOT</v>
          </cell>
          <cell r="D18">
            <v>280</v>
          </cell>
          <cell r="H18"/>
          <cell r="I18"/>
        </row>
        <row r="19">
          <cell r="B19" t="str">
            <v>MULTISOL P6-54 210</v>
          </cell>
          <cell r="C19" t="str">
            <v>SCHEUTEN</v>
          </cell>
          <cell r="D19">
            <v>210</v>
          </cell>
          <cell r="E19">
            <v>1000</v>
          </cell>
          <cell r="F19">
            <v>1500</v>
          </cell>
          <cell r="H19"/>
          <cell r="I19"/>
        </row>
        <row r="20">
          <cell r="B20" t="str">
            <v>TP660M-320</v>
          </cell>
          <cell r="C20" t="str">
            <v>TALESUN</v>
          </cell>
          <cell r="D20">
            <v>320</v>
          </cell>
          <cell r="E20">
            <v>992</v>
          </cell>
          <cell r="F20">
            <v>1650</v>
          </cell>
          <cell r="H20"/>
          <cell r="I20"/>
        </row>
        <row r="21">
          <cell r="B21" t="str">
            <v>TP6F60M-340</v>
          </cell>
          <cell r="C21" t="str">
            <v>TALESUN</v>
          </cell>
          <cell r="D21">
            <v>340</v>
          </cell>
          <cell r="E21">
            <v>1002</v>
          </cell>
          <cell r="F21">
            <v>1684</v>
          </cell>
          <cell r="H21"/>
          <cell r="I21"/>
        </row>
        <row r="22">
          <cell r="B22" t="str">
            <v>TRINA 340</v>
          </cell>
          <cell r="C22" t="str">
            <v>TRINA SOLAR</v>
          </cell>
          <cell r="D22">
            <v>340</v>
          </cell>
          <cell r="E22">
            <v>1004</v>
          </cell>
          <cell r="F22">
            <v>1698</v>
          </cell>
          <cell r="H22"/>
          <cell r="I22"/>
        </row>
        <row r="23">
          <cell r="B23" t="str">
            <v>TSM DE06M.08</v>
          </cell>
          <cell r="C23" t="str">
            <v>TRINA SOLAR</v>
          </cell>
          <cell r="D23">
            <v>335</v>
          </cell>
          <cell r="H23"/>
          <cell r="I23"/>
        </row>
        <row r="24">
          <cell r="B24" t="str">
            <v>TSM-DE08M.08</v>
          </cell>
          <cell r="C24" t="str">
            <v>TRINA SOLAR</v>
          </cell>
          <cell r="D24">
            <v>375</v>
          </cell>
          <cell r="H24"/>
          <cell r="I24"/>
        </row>
        <row r="25">
          <cell r="B25" t="str">
            <v>VERTEX 400</v>
          </cell>
          <cell r="C25" t="str">
            <v>TRINA SOLAR</v>
          </cell>
          <cell r="D25">
            <v>400</v>
          </cell>
          <cell r="E25">
            <v>1096</v>
          </cell>
          <cell r="F25">
            <v>1754</v>
          </cell>
          <cell r="H25">
            <v>41.2</v>
          </cell>
          <cell r="I25"/>
        </row>
        <row r="26">
          <cell r="B26" t="str">
            <v>VERTEX 405</v>
          </cell>
          <cell r="C26" t="str">
            <v>TRINA SOLAR</v>
          </cell>
          <cell r="D26">
            <v>405</v>
          </cell>
          <cell r="E26">
            <v>1096</v>
          </cell>
          <cell r="F26">
            <v>1754</v>
          </cell>
          <cell r="H26"/>
          <cell r="I26"/>
        </row>
        <row r="27">
          <cell r="B27" t="str">
            <v>VERTEX 420</v>
          </cell>
          <cell r="C27" t="str">
            <v>TRINA SOLAR</v>
          </cell>
          <cell r="D27">
            <v>420</v>
          </cell>
          <cell r="E27">
            <v>1134</v>
          </cell>
          <cell r="F27">
            <v>1762</v>
          </cell>
          <cell r="H27"/>
          <cell r="I27"/>
        </row>
        <row r="28">
          <cell r="B28" t="str">
            <v>VERTEX 425</v>
          </cell>
          <cell r="C28" t="str">
            <v>TRINA SOLAR</v>
          </cell>
          <cell r="D28">
            <v>425</v>
          </cell>
          <cell r="E28">
            <v>1134</v>
          </cell>
          <cell r="F28">
            <v>1762</v>
          </cell>
          <cell r="H28"/>
          <cell r="I28"/>
        </row>
        <row r="29">
          <cell r="B29" t="str">
            <v>VERTEX 430</v>
          </cell>
          <cell r="C29" t="str">
            <v>TRINA SOLAR</v>
          </cell>
          <cell r="D29">
            <v>430</v>
          </cell>
          <cell r="E29">
            <v>1134</v>
          </cell>
          <cell r="F29">
            <v>1762</v>
          </cell>
          <cell r="H29"/>
          <cell r="I29"/>
        </row>
        <row r="30">
          <cell r="B30" t="str">
            <v>VERTEX 435</v>
          </cell>
          <cell r="C30" t="str">
            <v>TRINA SOLAR</v>
          </cell>
          <cell r="D30">
            <v>435</v>
          </cell>
          <cell r="E30">
            <v>1134</v>
          </cell>
          <cell r="F30">
            <v>1762</v>
          </cell>
          <cell r="H30">
            <v>50.4</v>
          </cell>
          <cell r="I30"/>
        </row>
        <row r="31">
          <cell r="B31" t="str">
            <v>VERTEX S+ 440</v>
          </cell>
          <cell r="C31" t="str">
            <v>TRINA SOLAR</v>
          </cell>
          <cell r="D31">
            <v>440</v>
          </cell>
          <cell r="E31">
            <v>1134</v>
          </cell>
          <cell r="F31">
            <v>1762</v>
          </cell>
          <cell r="H31">
            <v>52.2</v>
          </cell>
          <cell r="I31">
            <v>10.67</v>
          </cell>
        </row>
        <row r="32">
          <cell r="B32" t="str">
            <v>VERTEX S+ 445</v>
          </cell>
          <cell r="C32" t="str">
            <v>TRINA SOLAR</v>
          </cell>
          <cell r="D32">
            <v>445</v>
          </cell>
          <cell r="E32">
            <v>1134</v>
          </cell>
          <cell r="F32">
            <v>1762</v>
          </cell>
          <cell r="H32">
            <v>52.6</v>
          </cell>
          <cell r="I32">
            <v>10.71</v>
          </cell>
        </row>
      </sheetData>
      <sheetData sheetId="1"/>
      <sheetData sheetId="2">
        <row r="2">
          <cell r="A2" t="str">
            <v>BP50.0 TL3</v>
          </cell>
          <cell r="B2" t="str">
            <v>KACO</v>
          </cell>
          <cell r="C2">
            <v>50</v>
          </cell>
          <cell r="F2"/>
          <cell r="G2"/>
        </row>
        <row r="3">
          <cell r="A3" t="str">
            <v>BP92.0 TL3</v>
          </cell>
          <cell r="B3" t="str">
            <v>KACO</v>
          </cell>
          <cell r="C3">
            <v>92</v>
          </cell>
          <cell r="F3"/>
          <cell r="G3"/>
        </row>
        <row r="4">
          <cell r="A4" t="str">
            <v>DS3-H</v>
          </cell>
          <cell r="B4" t="str">
            <v>AP SYSTEMS</v>
          </cell>
          <cell r="C4">
            <v>0.96</v>
          </cell>
          <cell r="F4"/>
          <cell r="G4"/>
        </row>
        <row r="5">
          <cell r="A5" t="str">
            <v>DS3-L</v>
          </cell>
          <cell r="B5" t="str">
            <v>AP SYSTEMS</v>
          </cell>
          <cell r="C5">
            <v>0.73</v>
          </cell>
          <cell r="F5"/>
          <cell r="G5"/>
        </row>
        <row r="6">
          <cell r="A6" t="str">
            <v>ECO 27.0-3-S</v>
          </cell>
          <cell r="B6" t="str">
            <v>FRONIUS</v>
          </cell>
          <cell r="C6">
            <v>27</v>
          </cell>
          <cell r="F6"/>
          <cell r="G6"/>
        </row>
        <row r="7">
          <cell r="A7" t="str">
            <v>KF-SPI100K-B</v>
          </cell>
          <cell r="B7" t="str">
            <v>KEHUA</v>
          </cell>
          <cell r="C7">
            <v>100</v>
          </cell>
          <cell r="F7">
            <v>345</v>
          </cell>
          <cell r="G7">
            <v>450</v>
          </cell>
        </row>
        <row r="8">
          <cell r="A8" t="str">
            <v>KF-SPI125K-B</v>
          </cell>
          <cell r="B8" t="str">
            <v>KEHUA</v>
          </cell>
          <cell r="C8">
            <v>125</v>
          </cell>
          <cell r="F8">
            <v>360</v>
          </cell>
          <cell r="G8">
            <v>450</v>
          </cell>
        </row>
        <row r="9">
          <cell r="A9" t="str">
            <v>KF-SPI40K-B</v>
          </cell>
          <cell r="B9" t="str">
            <v>KEHUA</v>
          </cell>
          <cell r="C9">
            <v>40</v>
          </cell>
          <cell r="F9">
            <v>273</v>
          </cell>
          <cell r="G9">
            <v>500</v>
          </cell>
        </row>
        <row r="10">
          <cell r="A10" t="str">
            <v>KF-SPI60K-B</v>
          </cell>
          <cell r="B10" t="str">
            <v>KEHUA</v>
          </cell>
          <cell r="C10">
            <v>60</v>
          </cell>
          <cell r="F10">
            <v>273</v>
          </cell>
          <cell r="G10">
            <v>500</v>
          </cell>
        </row>
        <row r="11">
          <cell r="A11" t="str">
            <v>M13T</v>
          </cell>
          <cell r="B11" t="str">
            <v>SOLARMAX</v>
          </cell>
          <cell r="C11">
            <v>13</v>
          </cell>
          <cell r="F11"/>
          <cell r="G11"/>
        </row>
        <row r="12">
          <cell r="A12" t="str">
            <v>PICO CI 60</v>
          </cell>
          <cell r="B12" t="str">
            <v>KOSTAL</v>
          </cell>
          <cell r="C12">
            <v>60</v>
          </cell>
          <cell r="F12"/>
          <cell r="G12"/>
        </row>
        <row r="13">
          <cell r="A13" t="str">
            <v>QS1</v>
          </cell>
          <cell r="B13" t="str">
            <v>AP SYSTEMS</v>
          </cell>
          <cell r="C13">
            <v>1.2</v>
          </cell>
          <cell r="F13"/>
          <cell r="G13"/>
        </row>
        <row r="14">
          <cell r="A14" t="str">
            <v>QT2</v>
          </cell>
          <cell r="B14" t="str">
            <v>AP SYSTEMS</v>
          </cell>
          <cell r="C14">
            <v>2</v>
          </cell>
          <cell r="F14"/>
          <cell r="G14"/>
        </row>
        <row r="15">
          <cell r="A15" t="str">
            <v>SE82.8K</v>
          </cell>
          <cell r="B15" t="str">
            <v>SOLAR EDGE</v>
          </cell>
          <cell r="C15">
            <v>82.8</v>
          </cell>
          <cell r="F15"/>
          <cell r="G15"/>
        </row>
        <row r="16">
          <cell r="A16" t="str">
            <v>SE90K</v>
          </cell>
          <cell r="B16" t="str">
            <v>SOLAR EDGE</v>
          </cell>
          <cell r="C16">
            <v>90</v>
          </cell>
          <cell r="F16"/>
          <cell r="G16"/>
        </row>
        <row r="17">
          <cell r="A17" t="str">
            <v>SG110CX-V112</v>
          </cell>
          <cell r="B17" t="str">
            <v>SUNGROW</v>
          </cell>
          <cell r="C17">
            <v>110</v>
          </cell>
          <cell r="F17">
            <v>363</v>
          </cell>
          <cell r="G17">
            <v>450</v>
          </cell>
        </row>
        <row r="18">
          <cell r="A18" t="str">
            <v>SG125CX-P2</v>
          </cell>
          <cell r="B18" t="str">
            <v>SUNGROW</v>
          </cell>
          <cell r="C18">
            <v>125</v>
          </cell>
          <cell r="F18">
            <v>360</v>
          </cell>
          <cell r="G18">
            <v>450</v>
          </cell>
        </row>
        <row r="19">
          <cell r="A19" t="str">
            <v>SG15RT</v>
          </cell>
          <cell r="B19" t="str">
            <v>SUNGROW</v>
          </cell>
          <cell r="C19">
            <v>15</v>
          </cell>
          <cell r="F19"/>
          <cell r="G19"/>
        </row>
        <row r="20">
          <cell r="A20" t="str">
            <v>SG20RT</v>
          </cell>
          <cell r="B20" t="str">
            <v>SUNGROW</v>
          </cell>
          <cell r="C20">
            <v>20</v>
          </cell>
          <cell r="F20"/>
        </row>
        <row r="21">
          <cell r="A21" t="str">
            <v>SG33CX</v>
          </cell>
          <cell r="B21" t="str">
            <v>SUNGROW</v>
          </cell>
          <cell r="C21">
            <v>33</v>
          </cell>
          <cell r="F21">
            <v>310</v>
          </cell>
          <cell r="G21">
            <v>650</v>
          </cell>
        </row>
        <row r="22">
          <cell r="A22" t="str">
            <v>SG50CX</v>
          </cell>
          <cell r="B22" t="str">
            <v>SUNGROW</v>
          </cell>
          <cell r="C22">
            <v>55</v>
          </cell>
          <cell r="F22"/>
          <cell r="G22"/>
        </row>
        <row r="23">
          <cell r="A23" t="str">
            <v>SUN2000-100KTL</v>
          </cell>
          <cell r="B23" t="str">
            <v>HUAWEI</v>
          </cell>
          <cell r="C23">
            <v>100</v>
          </cell>
          <cell r="F23">
            <v>365</v>
          </cell>
          <cell r="G23">
            <v>600</v>
          </cell>
        </row>
        <row r="24">
          <cell r="A24" t="str">
            <v>SUN2000-10KTL-M2</v>
          </cell>
          <cell r="B24" t="str">
            <v>HUAWEI</v>
          </cell>
          <cell r="C24">
            <v>10</v>
          </cell>
          <cell r="F24">
            <v>262</v>
          </cell>
          <cell r="G24">
            <v>400</v>
          </cell>
        </row>
        <row r="25">
          <cell r="A25" t="str">
            <v>SUN2000-110KTL</v>
          </cell>
          <cell r="B25" t="str">
            <v>HUAWEI</v>
          </cell>
          <cell r="C25">
            <v>110</v>
          </cell>
          <cell r="F25">
            <v>365</v>
          </cell>
          <cell r="G25">
            <v>600</v>
          </cell>
        </row>
        <row r="26">
          <cell r="A26" t="str">
            <v>SUN2000-115KTL</v>
          </cell>
          <cell r="B26" t="str">
            <v>HUAWEI</v>
          </cell>
          <cell r="C26">
            <v>115</v>
          </cell>
          <cell r="F26">
            <v>365</v>
          </cell>
          <cell r="G26">
            <v>600</v>
          </cell>
        </row>
        <row r="27">
          <cell r="A27" t="str">
            <v>SUN2000-125KTL</v>
          </cell>
          <cell r="B27" t="str">
            <v>HUAWEI</v>
          </cell>
          <cell r="C27">
            <v>125</v>
          </cell>
          <cell r="F27"/>
          <cell r="G27"/>
        </row>
        <row r="28">
          <cell r="A28" t="str">
            <v>SUN2000-20KTL</v>
          </cell>
          <cell r="B28" t="str">
            <v>HUAWEI</v>
          </cell>
          <cell r="C28">
            <v>20</v>
          </cell>
          <cell r="F28">
            <v>228</v>
          </cell>
          <cell r="G28">
            <v>1000</v>
          </cell>
        </row>
        <row r="29">
          <cell r="A29" t="str">
            <v>SUN2000-30KTL</v>
          </cell>
          <cell r="B29" t="str">
            <v>HUAWEI</v>
          </cell>
          <cell r="C29">
            <v>30</v>
          </cell>
          <cell r="F29">
            <v>270</v>
          </cell>
          <cell r="G29">
            <v>600</v>
          </cell>
        </row>
        <row r="30">
          <cell r="A30" t="str">
            <v>SUN2000-36KTL</v>
          </cell>
          <cell r="B30" t="str">
            <v>HUAWEI</v>
          </cell>
          <cell r="C30">
            <v>36</v>
          </cell>
          <cell r="F30">
            <v>270</v>
          </cell>
          <cell r="G30">
            <v>600</v>
          </cell>
        </row>
        <row r="31">
          <cell r="A31" t="str">
            <v>SUN2000-40KTL</v>
          </cell>
          <cell r="B31" t="str">
            <v>HUAWEI</v>
          </cell>
          <cell r="C31">
            <v>40</v>
          </cell>
          <cell r="F31">
            <v>270</v>
          </cell>
          <cell r="G31">
            <v>600</v>
          </cell>
        </row>
        <row r="32">
          <cell r="A32" t="str">
            <v>SUN2000-50KTL</v>
          </cell>
          <cell r="B32" t="str">
            <v>HUAWEI</v>
          </cell>
          <cell r="C32">
            <v>50</v>
          </cell>
          <cell r="F32">
            <v>270</v>
          </cell>
          <cell r="G32">
            <v>600</v>
          </cell>
        </row>
        <row r="33">
          <cell r="A33" t="str">
            <v>SUN2000-60KTL</v>
          </cell>
          <cell r="B33" t="str">
            <v>HUAWEI</v>
          </cell>
          <cell r="C33">
            <v>60</v>
          </cell>
          <cell r="F33"/>
          <cell r="G33"/>
        </row>
        <row r="34">
          <cell r="A34" t="str">
            <v>SUN2000-65KTL</v>
          </cell>
          <cell r="B34" t="str">
            <v>HUAWEI</v>
          </cell>
          <cell r="C34">
            <v>65</v>
          </cell>
          <cell r="F34"/>
          <cell r="G34"/>
        </row>
        <row r="35">
          <cell r="A35" t="str">
            <v>SUN2000-75KTL</v>
          </cell>
          <cell r="B35" t="str">
            <v>HUAWEI</v>
          </cell>
          <cell r="C35">
            <v>75</v>
          </cell>
          <cell r="F35"/>
          <cell r="G35"/>
        </row>
        <row r="36">
          <cell r="A36" t="str">
            <v>SYMO 10.0-3-M</v>
          </cell>
          <cell r="B36" t="str">
            <v>FRONIUS</v>
          </cell>
          <cell r="C36">
            <v>10</v>
          </cell>
          <cell r="F36"/>
          <cell r="G36"/>
        </row>
        <row r="37">
          <cell r="A37" t="str">
            <v>SYMO 15.0-3-M</v>
          </cell>
          <cell r="B37" t="str">
            <v>FRONIUS</v>
          </cell>
          <cell r="C37">
            <v>15</v>
          </cell>
          <cell r="F37"/>
          <cell r="G37"/>
        </row>
        <row r="38">
          <cell r="A38" t="str">
            <v>SYMO 20.0-3-M</v>
          </cell>
          <cell r="B38" t="str">
            <v>FRONIUS</v>
          </cell>
          <cell r="C38">
            <v>20</v>
          </cell>
          <cell r="F38"/>
          <cell r="G38"/>
        </row>
        <row r="39">
          <cell r="A39" t="str">
            <v>SYMO 5.0-3-M</v>
          </cell>
          <cell r="B39" t="str">
            <v>FRONIUS</v>
          </cell>
          <cell r="C39">
            <v>5</v>
          </cell>
          <cell r="F39"/>
          <cell r="G39"/>
        </row>
        <row r="40">
          <cell r="A40" t="str">
            <v>TAURO 50-3-D 3MPPT</v>
          </cell>
          <cell r="B40" t="str">
            <v>FRONIUS</v>
          </cell>
          <cell r="C40">
            <v>50</v>
          </cell>
          <cell r="F40"/>
          <cell r="G40"/>
        </row>
        <row r="41">
          <cell r="A41" t="str">
            <v>TAURO ECO-100-3-D</v>
          </cell>
          <cell r="B41" t="str">
            <v>FRONIUS</v>
          </cell>
          <cell r="C41">
            <v>100</v>
          </cell>
          <cell r="F41"/>
          <cell r="G41"/>
        </row>
        <row r="42">
          <cell r="A42" t="str">
            <v>TAURO ECO-99-P</v>
          </cell>
          <cell r="B42" t="str">
            <v>FRONIUS</v>
          </cell>
          <cell r="C42">
            <v>99</v>
          </cell>
          <cell r="F42"/>
          <cell r="G42"/>
        </row>
        <row r="43">
          <cell r="A43" t="str">
            <v>TRIPOWER 17K TL10</v>
          </cell>
          <cell r="B43" t="str">
            <v>SMA</v>
          </cell>
          <cell r="C43">
            <v>17</v>
          </cell>
          <cell r="F43"/>
          <cell r="G43"/>
        </row>
        <row r="44">
          <cell r="A44" t="str">
            <v>TRIPOWER STP110-60</v>
          </cell>
          <cell r="B44" t="str">
            <v>SMA SUNNY</v>
          </cell>
          <cell r="C44">
            <v>110</v>
          </cell>
          <cell r="F44">
            <v>363</v>
          </cell>
          <cell r="G44">
            <v>450</v>
          </cell>
        </row>
        <row r="45">
          <cell r="A45" t="str">
            <v>TRIPOWER X12</v>
          </cell>
          <cell r="B45" t="str">
            <v>SMA SUNNY</v>
          </cell>
          <cell r="C45">
            <v>12</v>
          </cell>
          <cell r="F45">
            <v>266</v>
          </cell>
          <cell r="G45">
            <v>330</v>
          </cell>
        </row>
        <row r="46">
          <cell r="A46" t="str">
            <v>TRIPOWER X15</v>
          </cell>
          <cell r="B46" t="str">
            <v>SMA SUNNY</v>
          </cell>
          <cell r="C46">
            <v>15</v>
          </cell>
          <cell r="F46">
            <v>266</v>
          </cell>
          <cell r="G46">
            <v>330</v>
          </cell>
        </row>
        <row r="47">
          <cell r="A47" t="str">
            <v>TRIPOWER X20</v>
          </cell>
          <cell r="B47" t="str">
            <v>SMA SUNNY</v>
          </cell>
          <cell r="C47">
            <v>20</v>
          </cell>
          <cell r="F47">
            <v>266</v>
          </cell>
          <cell r="G47">
            <v>330</v>
          </cell>
        </row>
      </sheetData>
      <sheetData sheetId="3"/>
      <sheetData sheetId="4"/>
      <sheetData sheetId="5">
        <row r="2">
          <cell r="A2" t="str">
            <v>Clipsobac</v>
          </cell>
        </row>
        <row r="3">
          <cell r="A3" t="str">
            <v>D160</v>
          </cell>
        </row>
        <row r="4">
          <cell r="A4" t="str">
            <v>Easy Roof Top</v>
          </cell>
        </row>
        <row r="5">
          <cell r="A5" t="str">
            <v>EB Solar</v>
          </cell>
        </row>
        <row r="6">
          <cell r="A6" t="str">
            <v>FibroSolar</v>
          </cell>
          <cell r="B6" t="str">
            <v>Dome-Solar</v>
          </cell>
        </row>
        <row r="7">
          <cell r="A7" t="str">
            <v>Helios B²</v>
          </cell>
          <cell r="B7" t="str">
            <v>Dome-Solar</v>
          </cell>
        </row>
        <row r="8">
          <cell r="A8" t="str">
            <v>Ital Solar</v>
          </cell>
          <cell r="B8" t="str">
            <v>Dome-Solar</v>
          </cell>
        </row>
        <row r="9">
          <cell r="A9" t="str">
            <v>JoriSolar RS-R</v>
          </cell>
          <cell r="B9" t="str">
            <v>Joris-IDE</v>
          </cell>
        </row>
        <row r="10">
          <cell r="A10" t="str">
            <v>K2 Dome Zero</v>
          </cell>
          <cell r="B10" t="str">
            <v>K2 systerms</v>
          </cell>
          <cell r="E10">
            <v>2</v>
          </cell>
        </row>
        <row r="11">
          <cell r="A11" t="str">
            <v>MV€</v>
          </cell>
          <cell r="B11" t="str">
            <v>Mecosun</v>
          </cell>
          <cell r="E11">
            <v>15</v>
          </cell>
        </row>
        <row r="12">
          <cell r="A12" t="str">
            <v>MVU</v>
          </cell>
          <cell r="B12" t="str">
            <v>Mecosun</v>
          </cell>
        </row>
        <row r="13">
          <cell r="A13" t="str">
            <v>Novotegra</v>
          </cell>
        </row>
        <row r="14">
          <cell r="A14" t="str">
            <v>Opti Roof</v>
          </cell>
          <cell r="B14" t="str">
            <v>Joris IDE</v>
          </cell>
          <cell r="E14">
            <v>0</v>
          </cell>
        </row>
        <row r="15">
          <cell r="A15" t="str">
            <v>Optima</v>
          </cell>
          <cell r="B15" t="str">
            <v>Adi-Watt</v>
          </cell>
          <cell r="E15">
            <v>10</v>
          </cell>
        </row>
        <row r="16">
          <cell r="A16" t="str">
            <v>Prima</v>
          </cell>
          <cell r="B16" t="str">
            <v>Adi-Watt</v>
          </cell>
        </row>
        <row r="17">
          <cell r="A17" t="str">
            <v>Profil FR</v>
          </cell>
        </row>
        <row r="18">
          <cell r="A18" t="str">
            <v>R-Volt</v>
          </cell>
        </row>
        <row r="19">
          <cell r="A19" t="str">
            <v>S360M</v>
          </cell>
        </row>
        <row r="20">
          <cell r="A20" t="str">
            <v>RS-Evo</v>
          </cell>
          <cell r="B20" t="str">
            <v>ES-Dec</v>
          </cell>
        </row>
      </sheetData>
      <sheetData sheetId="6">
        <row r="2">
          <cell r="A2" t="str">
            <v>SolarLog</v>
          </cell>
        </row>
        <row r="3">
          <cell r="A3" t="str">
            <v>SmartLogger</v>
          </cell>
        </row>
      </sheetData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75C82-64B5-427E-A975-2A1EFB83BC62}">
  <sheetPr codeName="Feuil7"/>
  <dimension ref="A1:I59"/>
  <sheetViews>
    <sheetView showGridLines="0" tabSelected="1" showRuler="0" topLeftCell="A12" zoomScaleNormal="100" zoomScaleSheetLayoutView="100" workbookViewId="0">
      <selection activeCell="G22" sqref="G22"/>
    </sheetView>
  </sheetViews>
  <sheetFormatPr baseColWidth="10" defaultColWidth="11.42578125" defaultRowHeight="14.25" x14ac:dyDescent="0.2"/>
  <cols>
    <col min="1" max="1" width="7.28515625" style="15" customWidth="1"/>
    <col min="2" max="2" width="7.85546875" style="15" customWidth="1"/>
    <col min="3" max="3" width="15.28515625" style="15" customWidth="1"/>
    <col min="4" max="8" width="15" style="15" customWidth="1"/>
    <col min="9" max="30" width="10.7109375" style="15" customWidth="1"/>
    <col min="31" max="35" width="10.140625" style="15" customWidth="1"/>
    <col min="36" max="16384" width="11.42578125" style="15"/>
  </cols>
  <sheetData>
    <row r="1" spans="1:9" ht="18" customHeight="1" thickBot="1" x14ac:dyDescent="0.25">
      <c r="A1" s="50" t="s">
        <v>173</v>
      </c>
      <c r="B1" s="51" t="s">
        <v>171</v>
      </c>
      <c r="C1" s="51"/>
      <c r="D1" s="51"/>
      <c r="E1" s="51"/>
      <c r="F1" s="51"/>
      <c r="G1" s="51"/>
      <c r="H1" s="51"/>
      <c r="I1" s="51"/>
    </row>
    <row r="2" spans="1:9" ht="19.5" customHeight="1" x14ac:dyDescent="0.2">
      <c r="A2" s="56" t="s">
        <v>115</v>
      </c>
      <c r="B2" s="57"/>
      <c r="C2" s="57"/>
      <c r="D2" s="29" t="s">
        <v>116</v>
      </c>
      <c r="E2" s="29" t="s">
        <v>117</v>
      </c>
      <c r="F2" s="57" t="s">
        <v>118</v>
      </c>
      <c r="G2" s="57"/>
      <c r="H2" s="29" t="s">
        <v>166</v>
      </c>
      <c r="I2" s="30" t="s">
        <v>170</v>
      </c>
    </row>
    <row r="3" spans="1:9" ht="33.950000000000003" customHeight="1" x14ac:dyDescent="0.2">
      <c r="A3" s="58" t="s">
        <v>119</v>
      </c>
      <c r="B3" s="59"/>
      <c r="C3" s="59"/>
      <c r="D3" s="16"/>
      <c r="E3" s="16"/>
      <c r="F3" s="52"/>
      <c r="G3" s="52"/>
      <c r="H3" s="16"/>
      <c r="I3" s="32"/>
    </row>
    <row r="4" spans="1:9" ht="33.950000000000003" customHeight="1" x14ac:dyDescent="0.2">
      <c r="A4" s="58" t="s">
        <v>120</v>
      </c>
      <c r="B4" s="59"/>
      <c r="C4" s="59"/>
      <c r="D4" s="16"/>
      <c r="E4" s="16"/>
      <c r="F4" s="52"/>
      <c r="G4" s="52"/>
      <c r="H4" s="16"/>
      <c r="I4" s="32"/>
    </row>
    <row r="5" spans="1:9" ht="33.950000000000003" customHeight="1" thickBot="1" x14ac:dyDescent="0.25">
      <c r="A5" s="53" t="s">
        <v>121</v>
      </c>
      <c r="B5" s="54"/>
      <c r="C5" s="54"/>
      <c r="D5" s="31"/>
      <c r="E5" s="31"/>
      <c r="F5" s="55"/>
      <c r="G5" s="55"/>
      <c r="H5" s="31"/>
      <c r="I5" s="33"/>
    </row>
    <row r="6" spans="1:9" ht="33.950000000000003" customHeight="1" thickBot="1" x14ac:dyDescent="0.25">
      <c r="A6" s="60" t="s">
        <v>174</v>
      </c>
      <c r="B6" s="61"/>
      <c r="C6" s="61"/>
      <c r="D6" s="61"/>
      <c r="E6" s="61"/>
      <c r="F6" s="61"/>
      <c r="G6" s="61"/>
      <c r="H6" s="62"/>
    </row>
    <row r="7" spans="1:9" ht="33.950000000000003" customHeight="1" x14ac:dyDescent="0.2">
      <c r="A7" s="56" t="s">
        <v>122</v>
      </c>
      <c r="B7" s="57"/>
      <c r="C7" s="57"/>
      <c r="D7" s="48">
        <v>1</v>
      </c>
      <c r="E7" s="48">
        <v>2</v>
      </c>
      <c r="F7" s="48">
        <v>3</v>
      </c>
      <c r="G7" s="48">
        <v>4</v>
      </c>
      <c r="H7" s="30">
        <v>5</v>
      </c>
    </row>
    <row r="8" spans="1:9" ht="33.950000000000003" customHeight="1" x14ac:dyDescent="0.2">
      <c r="A8" s="58" t="s">
        <v>168</v>
      </c>
      <c r="B8" s="59"/>
      <c r="C8" s="59"/>
      <c r="D8" s="17"/>
      <c r="E8" s="17"/>
      <c r="F8" s="17"/>
      <c r="G8" s="17"/>
      <c r="H8" s="32"/>
    </row>
    <row r="9" spans="1:9" ht="33.950000000000003" customHeight="1" x14ac:dyDescent="0.2">
      <c r="A9" s="58" t="s">
        <v>123</v>
      </c>
      <c r="B9" s="59"/>
      <c r="C9" s="59"/>
      <c r="D9" s="17"/>
      <c r="E9" s="17"/>
      <c r="F9" s="17"/>
      <c r="G9" s="17"/>
      <c r="H9" s="32"/>
    </row>
    <row r="10" spans="1:9" ht="33.950000000000003" customHeight="1" x14ac:dyDescent="0.2">
      <c r="A10" s="65" t="s">
        <v>169</v>
      </c>
      <c r="B10" s="67" t="s">
        <v>164</v>
      </c>
      <c r="C10" s="68"/>
      <c r="D10" s="42"/>
      <c r="E10" s="42"/>
      <c r="F10" s="42"/>
      <c r="G10" s="42"/>
      <c r="H10" s="36"/>
    </row>
    <row r="11" spans="1:9" ht="33.950000000000003" customHeight="1" x14ac:dyDescent="0.2">
      <c r="A11" s="66"/>
      <c r="B11" s="63" t="s">
        <v>165</v>
      </c>
      <c r="C11" s="64"/>
      <c r="D11" s="43"/>
      <c r="E11" s="43"/>
      <c r="F11" s="43"/>
      <c r="G11" s="43"/>
      <c r="H11" s="37"/>
    </row>
    <row r="12" spans="1:9" ht="23.25" customHeight="1" x14ac:dyDescent="0.2">
      <c r="A12" s="58" t="s">
        <v>124</v>
      </c>
      <c r="B12" s="59"/>
      <c r="C12" s="59"/>
      <c r="D12" s="17"/>
      <c r="E12" s="17"/>
      <c r="F12" s="17"/>
      <c r="G12" s="17"/>
      <c r="H12" s="32"/>
    </row>
    <row r="13" spans="1:9" ht="28.35" customHeight="1" x14ac:dyDescent="0.2">
      <c r="A13" s="58" t="s">
        <v>167</v>
      </c>
      <c r="B13" s="59"/>
      <c r="C13" s="59"/>
      <c r="D13" s="17"/>
      <c r="E13" s="17"/>
      <c r="F13" s="17"/>
      <c r="G13" s="17"/>
      <c r="H13" s="32"/>
    </row>
    <row r="14" spans="1:9" ht="28.35" customHeight="1" x14ac:dyDescent="0.2">
      <c r="A14" s="58" t="s">
        <v>125</v>
      </c>
      <c r="B14" s="59"/>
      <c r="C14" s="59"/>
      <c r="D14" s="17"/>
      <c r="E14" s="17"/>
      <c r="F14" s="17"/>
      <c r="G14" s="17"/>
      <c r="H14" s="32"/>
    </row>
    <row r="15" spans="1:9" ht="28.35" customHeight="1" x14ac:dyDescent="0.2">
      <c r="A15" s="58" t="s">
        <v>126</v>
      </c>
      <c r="B15" s="59"/>
      <c r="C15" s="59"/>
      <c r="D15" s="17"/>
      <c r="E15" s="17"/>
      <c r="F15" s="17"/>
      <c r="G15" s="17"/>
      <c r="H15" s="32"/>
    </row>
    <row r="16" spans="1:9" ht="28.35" customHeight="1" thickBot="1" x14ac:dyDescent="0.25">
      <c r="A16" s="76" t="s">
        <v>127</v>
      </c>
      <c r="B16" s="77"/>
      <c r="C16" s="77"/>
      <c r="D16" s="35"/>
      <c r="E16" s="35"/>
      <c r="F16" s="35"/>
      <c r="G16" s="35"/>
      <c r="H16" s="34"/>
    </row>
    <row r="17" spans="1:8" ht="28.35" customHeight="1" thickBot="1" x14ac:dyDescent="0.25"/>
    <row r="18" spans="1:8" ht="28.35" customHeight="1" x14ac:dyDescent="0.2">
      <c r="A18" s="21" t="s">
        <v>159</v>
      </c>
      <c r="B18" s="69" t="s">
        <v>160</v>
      </c>
      <c r="C18" s="69"/>
      <c r="D18" s="69"/>
      <c r="E18" s="69"/>
      <c r="F18" s="49">
        <v>45446</v>
      </c>
      <c r="G18" s="44" t="s">
        <v>172</v>
      </c>
      <c r="H18" s="45"/>
    </row>
    <row r="19" spans="1:8" ht="28.35" customHeight="1" x14ac:dyDescent="0.2">
      <c r="A19" s="22"/>
      <c r="B19" s="70"/>
      <c r="C19" s="71"/>
      <c r="D19" s="71"/>
      <c r="E19" s="72"/>
      <c r="F19" s="40"/>
      <c r="G19" s="38"/>
      <c r="H19" s="39"/>
    </row>
    <row r="20" spans="1:8" ht="28.35" customHeight="1" thickBot="1" x14ac:dyDescent="0.25">
      <c r="A20" s="23"/>
      <c r="B20" s="73"/>
      <c r="C20" s="74"/>
      <c r="D20" s="74"/>
      <c r="E20" s="75"/>
      <c r="F20" s="41"/>
      <c r="G20" s="46"/>
      <c r="H20" s="47"/>
    </row>
    <row r="21" spans="1:8" ht="28.35" customHeight="1" x14ac:dyDescent="0.2"/>
    <row r="22" spans="1:8" ht="28.35" customHeight="1" x14ac:dyDescent="0.2"/>
    <row r="23" spans="1:8" ht="27" customHeight="1" x14ac:dyDescent="0.2"/>
    <row r="24" spans="1:8" ht="27" customHeight="1" x14ac:dyDescent="0.2"/>
    <row r="25" spans="1:8" ht="27" customHeight="1" x14ac:dyDescent="0.2"/>
    <row r="26" spans="1:8" ht="27" customHeight="1" x14ac:dyDescent="0.2"/>
    <row r="27" spans="1:8" ht="15.75" customHeight="1" x14ac:dyDescent="0.2"/>
    <row r="28" spans="1:8" ht="27" customHeight="1" x14ac:dyDescent="0.2"/>
    <row r="29" spans="1:8" ht="27" customHeight="1" x14ac:dyDescent="0.2"/>
    <row r="30" spans="1:8" ht="27" customHeight="1" x14ac:dyDescent="0.2"/>
    <row r="31" spans="1:8" ht="19.5" customHeight="1" x14ac:dyDescent="0.2"/>
    <row r="32" spans="1:8" ht="14.25" customHeight="1" x14ac:dyDescent="0.2"/>
    <row r="33" ht="17.25" customHeight="1" x14ac:dyDescent="0.2"/>
    <row r="34" ht="20.25" customHeight="1" x14ac:dyDescent="0.2"/>
    <row r="35" ht="18" customHeight="1" x14ac:dyDescent="0.2"/>
    <row r="36" ht="21" customHeight="1" x14ac:dyDescent="0.2"/>
    <row r="37" ht="27" customHeight="1" x14ac:dyDescent="0.2"/>
    <row r="38" ht="27" customHeight="1" x14ac:dyDescent="0.2"/>
    <row r="39" ht="27" customHeight="1" x14ac:dyDescent="0.2"/>
    <row r="40" ht="27" customHeight="1" x14ac:dyDescent="0.2"/>
    <row r="41" ht="27" customHeight="1" x14ac:dyDescent="0.2"/>
    <row r="42" ht="27" customHeight="1" x14ac:dyDescent="0.2"/>
    <row r="43" ht="27" customHeight="1" x14ac:dyDescent="0.2"/>
    <row r="44" ht="27" customHeight="1" x14ac:dyDescent="0.2"/>
    <row r="45" ht="27" customHeight="1" x14ac:dyDescent="0.2"/>
    <row r="46" ht="27" customHeight="1" x14ac:dyDescent="0.2"/>
    <row r="47" ht="27" customHeight="1" x14ac:dyDescent="0.2"/>
    <row r="48" ht="27" customHeight="1" x14ac:dyDescent="0.2"/>
    <row r="49" ht="27" customHeight="1" x14ac:dyDescent="0.2"/>
    <row r="50" ht="27" customHeight="1" x14ac:dyDescent="0.2"/>
    <row r="51" ht="27" customHeight="1" x14ac:dyDescent="0.2"/>
    <row r="52" ht="27" customHeight="1" x14ac:dyDescent="0.2"/>
    <row r="53" ht="27" customHeight="1" x14ac:dyDescent="0.2"/>
    <row r="54" ht="27" customHeight="1" x14ac:dyDescent="0.2"/>
    <row r="55" ht="27" customHeight="1" x14ac:dyDescent="0.2"/>
    <row r="56" ht="27" customHeight="1" x14ac:dyDescent="0.2"/>
    <row r="57" ht="27" customHeight="1" x14ac:dyDescent="0.2"/>
    <row r="58" ht="27" customHeight="1" x14ac:dyDescent="0.2"/>
    <row r="59" ht="27" customHeight="1" x14ac:dyDescent="0.2"/>
  </sheetData>
  <mergeCells count="24">
    <mergeCell ref="B18:E18"/>
    <mergeCell ref="B19:E19"/>
    <mergeCell ref="B20:E20"/>
    <mergeCell ref="A15:C15"/>
    <mergeCell ref="A16:C16"/>
    <mergeCell ref="A6:H6"/>
    <mergeCell ref="B11:C11"/>
    <mergeCell ref="A12:C12"/>
    <mergeCell ref="A13:C13"/>
    <mergeCell ref="A14:C14"/>
    <mergeCell ref="A7:C7"/>
    <mergeCell ref="A8:C8"/>
    <mergeCell ref="A9:C9"/>
    <mergeCell ref="A10:A11"/>
    <mergeCell ref="B10:C10"/>
    <mergeCell ref="A1:I1"/>
    <mergeCell ref="F4:G4"/>
    <mergeCell ref="A5:C5"/>
    <mergeCell ref="F5:G5"/>
    <mergeCell ref="A2:C2"/>
    <mergeCell ref="F2:G2"/>
    <mergeCell ref="A3:C3"/>
    <mergeCell ref="F3:G3"/>
    <mergeCell ref="A4:C4"/>
  </mergeCells>
  <dataValidations count="1">
    <dataValidation type="list" allowBlank="1" showInputMessage="1" showErrorMessage="1" sqref="D8:H9" xr:uid="{F76C7660-93B6-4839-B8EB-DE60BD08387B}">
      <formula1>"Bac acier,Fibrociment,Aucune,Tuiles,Ardoise"</formula1>
    </dataValidation>
  </dataValidations>
  <pageMargins left="0.25" right="0.25" top="0.75" bottom="0.75" header="0.3" footer="0.3"/>
  <pageSetup paperSize="9" scale="96" orientation="portrait" r:id="rId1"/>
  <headerFooter>
    <oddHeader>&amp;L&amp;"Arial,Gras"&amp;UInstallation PV :&amp;U  &amp;R&amp;"Arial Black,Normal"&amp;18&amp;A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7E6B2E-3D70-4C70-8034-C3A44954DF38}">
          <x14:formula1>
            <xm:f>BDD_1!$P$2:$P$20</xm:f>
          </x14:formula1>
          <xm:sqref>D16:H16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BB9B1-C178-4CF2-B49B-F37B077A384D}">
  <sheetPr codeName="Feuil6"/>
  <dimension ref="A1:DK44"/>
  <sheetViews>
    <sheetView topLeftCell="AC1" workbookViewId="0">
      <selection activeCell="C17" sqref="C17"/>
    </sheetView>
  </sheetViews>
  <sheetFormatPr baseColWidth="10" defaultRowHeight="15" x14ac:dyDescent="0.25"/>
  <cols>
    <col min="1" max="2" width="18" customWidth="1"/>
    <col min="3" max="3" width="16.85546875" customWidth="1"/>
    <col min="4" max="4" width="10.7109375" customWidth="1"/>
    <col min="5" max="5" width="13.5703125" customWidth="1"/>
    <col min="6" max="6" width="13.7109375" customWidth="1"/>
    <col min="7" max="8" width="13.5703125" customWidth="1"/>
    <col min="104" max="104" width="17.42578125" customWidth="1"/>
  </cols>
  <sheetData>
    <row r="1" spans="1:115" x14ac:dyDescent="0.25">
      <c r="A1" s="7" t="s">
        <v>0</v>
      </c>
      <c r="B1" s="9"/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7</v>
      </c>
      <c r="I1" s="1" t="s">
        <v>6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t="s">
        <v>18</v>
      </c>
      <c r="U1" t="s">
        <v>26</v>
      </c>
      <c r="V1" t="s">
        <v>32</v>
      </c>
      <c r="W1" t="s">
        <v>39</v>
      </c>
      <c r="X1" t="s">
        <v>46</v>
      </c>
      <c r="Y1" t="s">
        <v>53</v>
      </c>
      <c r="Z1" t="s">
        <v>60</v>
      </c>
      <c r="AA1" t="s">
        <v>67</v>
      </c>
      <c r="AB1" t="s">
        <v>74</v>
      </c>
      <c r="AC1" t="s">
        <v>81</v>
      </c>
      <c r="AD1" t="s">
        <v>88</v>
      </c>
      <c r="AE1" t="s">
        <v>95</v>
      </c>
      <c r="AF1" t="s">
        <v>20</v>
      </c>
      <c r="AG1" t="s">
        <v>19</v>
      </c>
      <c r="AH1" t="s">
        <v>33</v>
      </c>
      <c r="AI1" t="s">
        <v>40</v>
      </c>
      <c r="AJ1" t="s">
        <v>47</v>
      </c>
      <c r="AK1" t="s">
        <v>54</v>
      </c>
      <c r="AL1" t="s">
        <v>61</v>
      </c>
      <c r="AM1" t="s">
        <v>68</v>
      </c>
      <c r="AN1" t="s">
        <v>75</v>
      </c>
      <c r="AO1" t="s">
        <v>82</v>
      </c>
      <c r="AP1" t="s">
        <v>89</v>
      </c>
      <c r="AQ1" t="s">
        <v>96</v>
      </c>
      <c r="AR1" t="s">
        <v>21</v>
      </c>
      <c r="AS1" t="s">
        <v>27</v>
      </c>
      <c r="AT1" t="s">
        <v>34</v>
      </c>
      <c r="AU1" t="s">
        <v>41</v>
      </c>
      <c r="AV1" t="s">
        <v>48</v>
      </c>
      <c r="AW1" t="s">
        <v>55</v>
      </c>
      <c r="AX1" t="s">
        <v>62</v>
      </c>
      <c r="AY1" t="s">
        <v>69</v>
      </c>
      <c r="AZ1" t="s">
        <v>76</v>
      </c>
      <c r="BA1" t="s">
        <v>83</v>
      </c>
      <c r="BB1" t="s">
        <v>90</v>
      </c>
      <c r="BC1" t="s">
        <v>97</v>
      </c>
      <c r="BD1" t="s">
        <v>22</v>
      </c>
      <c r="BE1" t="s">
        <v>28</v>
      </c>
      <c r="BF1" t="s">
        <v>35</v>
      </c>
      <c r="BG1" t="s">
        <v>42</v>
      </c>
      <c r="BH1" t="s">
        <v>49</v>
      </c>
      <c r="BI1" t="s">
        <v>56</v>
      </c>
      <c r="BJ1" t="s">
        <v>63</v>
      </c>
      <c r="BK1" t="s">
        <v>70</v>
      </c>
      <c r="BL1" t="s">
        <v>77</v>
      </c>
      <c r="BM1" t="s">
        <v>84</v>
      </c>
      <c r="BN1" t="s">
        <v>91</v>
      </c>
      <c r="BO1" t="s">
        <v>98</v>
      </c>
      <c r="BP1" t="s">
        <v>23</v>
      </c>
      <c r="BQ1" t="s">
        <v>29</v>
      </c>
      <c r="BR1" t="s">
        <v>36</v>
      </c>
      <c r="BS1" t="s">
        <v>43</v>
      </c>
      <c r="BT1" t="s">
        <v>50</v>
      </c>
      <c r="BU1" t="s">
        <v>57</v>
      </c>
      <c r="BV1" t="s">
        <v>64</v>
      </c>
      <c r="BW1" t="s">
        <v>71</v>
      </c>
      <c r="BX1" t="s">
        <v>78</v>
      </c>
      <c r="BY1" t="s">
        <v>85</v>
      </c>
      <c r="BZ1" t="s">
        <v>92</v>
      </c>
      <c r="CA1" t="s">
        <v>99</v>
      </c>
      <c r="CB1" t="s">
        <v>24</v>
      </c>
      <c r="CC1" t="s">
        <v>30</v>
      </c>
      <c r="CD1" t="s">
        <v>37</v>
      </c>
      <c r="CE1" t="s">
        <v>44</v>
      </c>
      <c r="CF1" t="s">
        <v>51</v>
      </c>
      <c r="CG1" t="s">
        <v>58</v>
      </c>
      <c r="CH1" t="s">
        <v>65</v>
      </c>
      <c r="CI1" t="s">
        <v>72</v>
      </c>
      <c r="CJ1" t="s">
        <v>79</v>
      </c>
      <c r="CK1" t="s">
        <v>86</v>
      </c>
      <c r="CL1" t="s">
        <v>93</v>
      </c>
      <c r="CM1" t="s">
        <v>100</v>
      </c>
      <c r="CN1" t="s">
        <v>25</v>
      </c>
      <c r="CO1" t="s">
        <v>31</v>
      </c>
      <c r="CP1" t="s">
        <v>38</v>
      </c>
      <c r="CQ1" t="s">
        <v>45</v>
      </c>
      <c r="CR1" t="s">
        <v>52</v>
      </c>
      <c r="CS1" t="s">
        <v>59</v>
      </c>
      <c r="CT1" t="s">
        <v>66</v>
      </c>
      <c r="CU1" t="s">
        <v>73</v>
      </c>
      <c r="CV1" t="s">
        <v>80</v>
      </c>
      <c r="CW1" t="s">
        <v>87</v>
      </c>
      <c r="CX1" t="s">
        <v>94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</row>
    <row r="2" spans="1:115" x14ac:dyDescent="0.25">
      <c r="A2" s="5" t="s">
        <v>114</v>
      </c>
      <c r="B2" s="3">
        <v>42008</v>
      </c>
    </row>
    <row r="3" spans="1:115" x14ac:dyDescent="0.25">
      <c r="A3" s="10"/>
      <c r="B3" s="3">
        <v>42009</v>
      </c>
    </row>
    <row r="4" spans="1:115" x14ac:dyDescent="0.25">
      <c r="A4" s="11"/>
      <c r="B4" s="3">
        <v>42010</v>
      </c>
    </row>
    <row r="5" spans="1:115" x14ac:dyDescent="0.25">
      <c r="A5" s="4"/>
      <c r="B5" s="3">
        <v>42011</v>
      </c>
    </row>
    <row r="6" spans="1:115" x14ac:dyDescent="0.25">
      <c r="A6" s="4"/>
      <c r="B6" s="3">
        <v>42012</v>
      </c>
    </row>
    <row r="7" spans="1:115" x14ac:dyDescent="0.25">
      <c r="A7" s="4"/>
      <c r="B7" s="3">
        <v>42015</v>
      </c>
    </row>
    <row r="8" spans="1:115" x14ac:dyDescent="0.25">
      <c r="A8" s="4"/>
      <c r="B8" s="3">
        <v>42030</v>
      </c>
    </row>
    <row r="9" spans="1:115" x14ac:dyDescent="0.25">
      <c r="A9" s="4"/>
      <c r="B9" s="3">
        <v>42046</v>
      </c>
    </row>
    <row r="10" spans="1:115" x14ac:dyDescent="0.25">
      <c r="A10" s="4"/>
      <c r="B10" s="3">
        <v>42047</v>
      </c>
    </row>
    <row r="11" spans="1:115" x14ac:dyDescent="0.25">
      <c r="A11" s="4"/>
      <c r="B11" s="3">
        <v>42052</v>
      </c>
    </row>
    <row r="12" spans="1:115" x14ac:dyDescent="0.25">
      <c r="A12" s="4"/>
      <c r="B12" s="3">
        <v>42053</v>
      </c>
    </row>
    <row r="13" spans="1:115" x14ac:dyDescent="0.25">
      <c r="B13" s="3">
        <v>42058</v>
      </c>
    </row>
    <row r="14" spans="1:115" x14ac:dyDescent="0.25">
      <c r="B14" s="3">
        <v>42337</v>
      </c>
    </row>
    <row r="15" spans="1:115" x14ac:dyDescent="0.25">
      <c r="A15" s="5">
        <v>2022</v>
      </c>
      <c r="B15" s="3">
        <v>42016</v>
      </c>
    </row>
    <row r="16" spans="1:115" x14ac:dyDescent="0.25">
      <c r="B16" s="3">
        <v>42017</v>
      </c>
    </row>
    <row r="17" spans="2:2" x14ac:dyDescent="0.25">
      <c r="B17" s="3">
        <v>42018</v>
      </c>
    </row>
    <row r="18" spans="2:2" x14ac:dyDescent="0.25">
      <c r="B18" s="3">
        <v>42021</v>
      </c>
    </row>
    <row r="19" spans="2:2" x14ac:dyDescent="0.25">
      <c r="B19" s="3">
        <v>42022</v>
      </c>
    </row>
    <row r="20" spans="2:2" x14ac:dyDescent="0.25">
      <c r="B20" s="3">
        <v>42023</v>
      </c>
    </row>
    <row r="21" spans="2:2" x14ac:dyDescent="0.25">
      <c r="B21" s="3">
        <v>42029</v>
      </c>
    </row>
    <row r="22" spans="2:2" x14ac:dyDescent="0.25">
      <c r="B22" s="3">
        <v>42030</v>
      </c>
    </row>
    <row r="23" spans="2:2" x14ac:dyDescent="0.25">
      <c r="B23" s="3">
        <v>42031</v>
      </c>
    </row>
    <row r="24" spans="2:2" x14ac:dyDescent="0.25">
      <c r="B24" s="3">
        <v>42063</v>
      </c>
    </row>
    <row r="25" spans="2:2" x14ac:dyDescent="0.25">
      <c r="B25" s="3">
        <v>42064</v>
      </c>
    </row>
    <row r="26" spans="2:2" x14ac:dyDescent="0.25">
      <c r="B26" s="3">
        <v>42065</v>
      </c>
    </row>
    <row r="27" spans="2:2" x14ac:dyDescent="0.25">
      <c r="B27" s="3">
        <v>42066</v>
      </c>
    </row>
    <row r="28" spans="2:2" x14ac:dyDescent="0.25">
      <c r="B28" s="3">
        <v>42070</v>
      </c>
    </row>
    <row r="29" spans="2:2" x14ac:dyDescent="0.25">
      <c r="B29" s="3">
        <v>42071</v>
      </c>
    </row>
    <row r="30" spans="2:2" x14ac:dyDescent="0.25">
      <c r="B30" s="3">
        <v>42078</v>
      </c>
    </row>
    <row r="31" spans="2:2" x14ac:dyDescent="0.25">
      <c r="B31" s="3">
        <v>42085</v>
      </c>
    </row>
    <row r="32" spans="2:2" x14ac:dyDescent="0.25">
      <c r="B32" s="3">
        <v>42086</v>
      </c>
    </row>
    <row r="33" spans="2:2" x14ac:dyDescent="0.25">
      <c r="B33" s="3">
        <v>42092</v>
      </c>
    </row>
    <row r="34" spans="2:2" x14ac:dyDescent="0.25">
      <c r="B34" s="3">
        <v>42093</v>
      </c>
    </row>
    <row r="35" spans="2:2" x14ac:dyDescent="0.25">
      <c r="B35" s="3">
        <v>42094</v>
      </c>
    </row>
    <row r="36" spans="2:2" x14ac:dyDescent="0.25">
      <c r="B36" s="3">
        <v>42285</v>
      </c>
    </row>
    <row r="37" spans="2:2" x14ac:dyDescent="0.25">
      <c r="B37" s="3">
        <v>42289</v>
      </c>
    </row>
    <row r="38" spans="2:2" x14ac:dyDescent="0.25">
      <c r="B38" s="3">
        <v>42290</v>
      </c>
    </row>
    <row r="39" spans="2:2" x14ac:dyDescent="0.25">
      <c r="B39" s="3">
        <v>42291</v>
      </c>
    </row>
    <row r="40" spans="2:2" x14ac:dyDescent="0.25">
      <c r="B40" s="8"/>
    </row>
    <row r="41" spans="2:2" x14ac:dyDescent="0.25">
      <c r="B41" s="4"/>
    </row>
    <row r="42" spans="2:2" x14ac:dyDescent="0.25">
      <c r="B42" s="4"/>
    </row>
    <row r="43" spans="2:2" x14ac:dyDescent="0.25">
      <c r="B43" s="4"/>
    </row>
    <row r="44" spans="2:2" x14ac:dyDescent="0.25">
      <c r="B44" s="4"/>
    </row>
  </sheetData>
  <phoneticPr fontId="20" type="noConversion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B1699-B599-4BA2-A4A3-89C80F620537}">
  <sheetPr codeName="Feuil10"/>
  <dimension ref="A1:AD47"/>
  <sheetViews>
    <sheetView workbookViewId="0">
      <selection activeCell="K22" sqref="K22"/>
    </sheetView>
  </sheetViews>
  <sheetFormatPr baseColWidth="10" defaultRowHeight="15" x14ac:dyDescent="0.25"/>
  <cols>
    <col min="2" max="2" width="21.42578125" customWidth="1"/>
    <col min="3" max="3" width="22.5703125" customWidth="1"/>
    <col min="4" max="4" width="20" customWidth="1"/>
    <col min="5" max="6" width="18.140625" customWidth="1"/>
    <col min="7" max="7" width="20" customWidth="1"/>
    <col min="8" max="8" width="21.85546875" customWidth="1"/>
    <col min="9" max="9" width="18.7109375" customWidth="1"/>
    <col min="10" max="10" width="21.42578125" customWidth="1"/>
    <col min="11" max="11" width="18.140625" customWidth="1"/>
    <col min="12" max="15" width="20.7109375" customWidth="1"/>
    <col min="16" max="16" width="31.7109375" customWidth="1"/>
    <col min="17" max="17" width="31.28515625" customWidth="1"/>
    <col min="18" max="18" width="26.28515625" customWidth="1"/>
    <col min="20" max="20" width="17.28515625" customWidth="1"/>
  </cols>
  <sheetData>
    <row r="1" spans="1:30" x14ac:dyDescent="0.25">
      <c r="A1" s="12">
        <v>35</v>
      </c>
      <c r="B1" t="s">
        <v>128</v>
      </c>
      <c r="C1" t="s">
        <v>129</v>
      </c>
      <c r="D1" t="s">
        <v>130</v>
      </c>
      <c r="E1" t="s">
        <v>131</v>
      </c>
      <c r="F1" t="s">
        <v>132</v>
      </c>
      <c r="G1" s="12">
        <v>21</v>
      </c>
      <c r="H1" s="1" t="s">
        <v>133</v>
      </c>
      <c r="I1" s="1" t="s">
        <v>134</v>
      </c>
      <c r="J1" s="1" t="s">
        <v>135</v>
      </c>
      <c r="K1" s="1" t="s">
        <v>136</v>
      </c>
      <c r="L1" s="1" t="s">
        <v>137</v>
      </c>
      <c r="M1" s="1" t="s">
        <v>138</v>
      </c>
      <c r="N1" s="1" t="s">
        <v>139</v>
      </c>
      <c r="O1">
        <v>20</v>
      </c>
      <c r="P1" t="s">
        <v>140</v>
      </c>
      <c r="Q1" t="s">
        <v>141</v>
      </c>
      <c r="R1" t="s">
        <v>142</v>
      </c>
      <c r="S1">
        <v>19</v>
      </c>
      <c r="T1" t="s">
        <v>143</v>
      </c>
      <c r="U1">
        <v>4</v>
      </c>
      <c r="V1" s="6" t="s">
        <v>144</v>
      </c>
      <c r="X1" s="6" t="s">
        <v>145</v>
      </c>
      <c r="Y1" s="6"/>
      <c r="Z1" s="6" t="s">
        <v>146</v>
      </c>
      <c r="AA1" s="6"/>
      <c r="AB1" s="6" t="s">
        <v>147</v>
      </c>
      <c r="AD1" t="s">
        <v>148</v>
      </c>
    </row>
    <row r="2" spans="1:30" ht="15.75" x14ac:dyDescent="0.25">
      <c r="B2" t="str">
        <f>[2]Onduleurs!$A2</f>
        <v>BP50.0 TL3</v>
      </c>
      <c r="C2" t="str">
        <f>[2]Onduleurs!$B2</f>
        <v>KACO</v>
      </c>
      <c r="D2">
        <f>[2]Onduleurs!$C2</f>
        <v>50</v>
      </c>
      <c r="E2">
        <f>[2]Onduleurs!$F2</f>
        <v>0</v>
      </c>
      <c r="F2">
        <f>[2]Onduleurs!$G2</f>
        <v>0</v>
      </c>
      <c r="H2" t="str">
        <f>[2]Panneaux!$B2</f>
        <v>DM385M6-60HBW</v>
      </c>
      <c r="I2" t="str">
        <f>[2]Panneaux!$C2</f>
        <v>DMEGC</v>
      </c>
      <c r="J2">
        <f>[2]Panneaux!$D2</f>
        <v>375</v>
      </c>
      <c r="K2">
        <f>[2]Panneaux!$E2</f>
        <v>1038</v>
      </c>
      <c r="L2">
        <f>[2]Panneaux!$F2</f>
        <v>1755</v>
      </c>
      <c r="M2" s="13">
        <f>[2]Panneaux!$H2</f>
        <v>0</v>
      </c>
      <c r="N2">
        <f>[2]Panneaux!$I2</f>
        <v>0</v>
      </c>
      <c r="P2" t="str">
        <f>'[2]Systemes Integration'!$A2</f>
        <v>Clipsobac</v>
      </c>
      <c r="Q2">
        <f>'[2]Systemes Integration'!$B2</f>
        <v>0</v>
      </c>
      <c r="R2">
        <f>'[2]Systemes Integration'!$E2</f>
        <v>0</v>
      </c>
      <c r="T2" t="str">
        <f>[2]Monitoring!$A2</f>
        <v>SolarLog</v>
      </c>
      <c r="V2" s="2">
        <v>1.5</v>
      </c>
      <c r="X2" s="18" t="s">
        <v>149</v>
      </c>
      <c r="Z2" s="19" t="s">
        <v>150</v>
      </c>
      <c r="AB2" s="14" t="s">
        <v>151</v>
      </c>
      <c r="AC2" s="19">
        <v>1</v>
      </c>
      <c r="AD2">
        <f>'[2]Type Toiture'!$G2</f>
        <v>0</v>
      </c>
    </row>
    <row r="3" spans="1:30" ht="15.75" x14ac:dyDescent="0.25">
      <c r="B3" t="str">
        <f>[2]Onduleurs!$A3</f>
        <v>BP92.0 TL3</v>
      </c>
      <c r="C3" t="str">
        <f>[2]Onduleurs!$B3</f>
        <v>KACO</v>
      </c>
      <c r="D3">
        <f>[2]Onduleurs!$C3</f>
        <v>92</v>
      </c>
      <c r="E3">
        <f>[2]Onduleurs!$F3</f>
        <v>0</v>
      </c>
      <c r="F3">
        <f>[2]Onduleurs!$G3</f>
        <v>0</v>
      </c>
      <c r="H3" t="str">
        <f>[2]Panneaux!$B3</f>
        <v>DM405M10-50HBW-V</v>
      </c>
      <c r="I3" t="str">
        <f>[2]Panneaux!$C3</f>
        <v>DMEGC</v>
      </c>
      <c r="J3">
        <f>[2]Panneaux!$D3</f>
        <v>405</v>
      </c>
      <c r="K3">
        <f>[2]Panneaux!$E3</f>
        <v>1134</v>
      </c>
      <c r="L3">
        <f>[2]Panneaux!$F3</f>
        <v>1722</v>
      </c>
      <c r="M3" s="13">
        <f>[2]Panneaux!$H3</f>
        <v>0</v>
      </c>
      <c r="N3">
        <f>[2]Panneaux!$I3</f>
        <v>0</v>
      </c>
      <c r="P3" t="str">
        <f>'[2]Systemes Integration'!$A3</f>
        <v>D160</v>
      </c>
      <c r="Q3">
        <f>'[2]Systemes Integration'!$B3</f>
        <v>0</v>
      </c>
      <c r="R3">
        <f>'[2]Systemes Integration'!$E3</f>
        <v>0</v>
      </c>
      <c r="T3" t="str">
        <f>[2]Monitoring!$A3</f>
        <v>SmartLogger</v>
      </c>
      <c r="V3" s="2">
        <v>2.5</v>
      </c>
      <c r="X3" s="18" t="s">
        <v>152</v>
      </c>
      <c r="Z3" s="19" t="s">
        <v>153</v>
      </c>
      <c r="AB3" s="14" t="s">
        <v>154</v>
      </c>
      <c r="AC3" s="19">
        <v>2</v>
      </c>
      <c r="AD3">
        <f>'[2]Type Toiture'!$G3</f>
        <v>0</v>
      </c>
    </row>
    <row r="4" spans="1:30" ht="15.75" x14ac:dyDescent="0.25">
      <c r="B4" t="str">
        <f>[2]Onduleurs!$A4</f>
        <v>DS3-H</v>
      </c>
      <c r="C4" t="str">
        <f>[2]Onduleurs!$B4</f>
        <v>AP SYSTEMS</v>
      </c>
      <c r="D4">
        <f>[2]Onduleurs!$C4</f>
        <v>0.96</v>
      </c>
      <c r="E4">
        <f>[2]Onduleurs!$F4</f>
        <v>0</v>
      </c>
      <c r="F4">
        <f>[2]Onduleurs!$G4</f>
        <v>0</v>
      </c>
      <c r="H4" t="str">
        <f>[2]Panneaux!$B4</f>
        <v>DM410M10-54HBW</v>
      </c>
      <c r="I4" t="str">
        <f>[2]Panneaux!$C4</f>
        <v>DMEGC</v>
      </c>
      <c r="J4">
        <f>[2]Panneaux!$D4</f>
        <v>410</v>
      </c>
      <c r="K4">
        <f>[2]Panneaux!$E4</f>
        <v>1134</v>
      </c>
      <c r="L4">
        <f>[2]Panneaux!$F4</f>
        <v>1722</v>
      </c>
      <c r="M4" s="13">
        <f>[2]Panneaux!$H4</f>
        <v>0</v>
      </c>
      <c r="N4">
        <f>[2]Panneaux!$I4</f>
        <v>0</v>
      </c>
      <c r="P4" t="str">
        <f>'[2]Systemes Integration'!$A4</f>
        <v>Easy Roof Top</v>
      </c>
      <c r="Q4">
        <f>'[2]Systemes Integration'!$B4</f>
        <v>0</v>
      </c>
      <c r="R4">
        <f>'[2]Systemes Integration'!$E4</f>
        <v>0</v>
      </c>
      <c r="V4" s="2">
        <v>4</v>
      </c>
      <c r="Z4" s="19" t="s">
        <v>155</v>
      </c>
      <c r="AD4">
        <f>'[2]Type Toiture'!$G4</f>
        <v>0</v>
      </c>
    </row>
    <row r="5" spans="1:30" ht="15.75" x14ac:dyDescent="0.25">
      <c r="B5" t="str">
        <f>[2]Onduleurs!$A5</f>
        <v>DS3-L</v>
      </c>
      <c r="C5" t="str">
        <f>[2]Onduleurs!$B5</f>
        <v>AP SYSTEMS</v>
      </c>
      <c r="D5">
        <f>[2]Onduleurs!$C5</f>
        <v>0.73</v>
      </c>
      <c r="E5">
        <f>[2]Onduleurs!$F5</f>
        <v>0</v>
      </c>
      <c r="F5">
        <f>[2]Onduleurs!$G5</f>
        <v>0</v>
      </c>
      <c r="H5" t="str">
        <f>[2]Panneaux!$B5</f>
        <v>DM415M10-54HBW</v>
      </c>
      <c r="I5" t="str">
        <f>[2]Panneaux!$C5</f>
        <v>DMEGC</v>
      </c>
      <c r="J5">
        <f>[2]Panneaux!$D5</f>
        <v>415</v>
      </c>
      <c r="K5">
        <f>[2]Panneaux!$E5</f>
        <v>1134</v>
      </c>
      <c r="L5">
        <f>[2]Panneaux!$F5</f>
        <v>1722</v>
      </c>
      <c r="M5" s="13">
        <f>[2]Panneaux!$H5</f>
        <v>0</v>
      </c>
      <c r="N5">
        <f>[2]Panneaux!$I5</f>
        <v>0</v>
      </c>
      <c r="P5" t="str">
        <f>'[2]Systemes Integration'!$A5</f>
        <v>EB Solar</v>
      </c>
      <c r="Q5">
        <f>'[2]Systemes Integration'!$B5</f>
        <v>0</v>
      </c>
      <c r="R5">
        <f>'[2]Systemes Integration'!$E5</f>
        <v>0</v>
      </c>
      <c r="V5" s="2">
        <v>6</v>
      </c>
      <c r="Z5" s="19" t="s">
        <v>156</v>
      </c>
      <c r="AD5">
        <f>'[2]Type Toiture'!$G5</f>
        <v>0</v>
      </c>
    </row>
    <row r="6" spans="1:30" ht="15.75" x14ac:dyDescent="0.25">
      <c r="B6" t="str">
        <f>[2]Onduleurs!$A6</f>
        <v>ECO 27.0-3-S</v>
      </c>
      <c r="C6" t="str">
        <f>[2]Onduleurs!$B6</f>
        <v>FRONIUS</v>
      </c>
      <c r="D6">
        <f>[2]Onduleurs!$C6</f>
        <v>27</v>
      </c>
      <c r="E6">
        <f>[2]Onduleurs!$F6</f>
        <v>0</v>
      </c>
      <c r="F6">
        <f>[2]Onduleurs!$G6</f>
        <v>0</v>
      </c>
      <c r="H6" t="str">
        <f>[2]Panneaux!$B6</f>
        <v>DM450M10RT-54HSW/HBW</v>
      </c>
      <c r="I6" t="str">
        <f>[2]Panneaux!$C6</f>
        <v>DMEGC</v>
      </c>
      <c r="J6">
        <f>[2]Panneaux!$D6</f>
        <v>450</v>
      </c>
      <c r="K6">
        <f>[2]Panneaux!$E6</f>
        <v>1134</v>
      </c>
      <c r="L6">
        <f>[2]Panneaux!$F6</f>
        <v>1762</v>
      </c>
      <c r="M6" s="13">
        <f>[2]Panneaux!$H6</f>
        <v>33.24</v>
      </c>
      <c r="N6">
        <f>[2]Panneaux!$I6</f>
        <v>13.96</v>
      </c>
      <c r="P6" t="str">
        <f>'[2]Systemes Integration'!$A6</f>
        <v>FibroSolar</v>
      </c>
      <c r="Q6" t="str">
        <f>'[2]Systemes Integration'!$B6</f>
        <v>Dome-Solar</v>
      </c>
      <c r="R6">
        <f>'[2]Systemes Integration'!$E6</f>
        <v>0</v>
      </c>
      <c r="V6" s="2">
        <v>10</v>
      </c>
      <c r="Z6" s="19" t="s">
        <v>157</v>
      </c>
      <c r="AD6">
        <f>'[2]Type Toiture'!$G6</f>
        <v>0</v>
      </c>
    </row>
    <row r="7" spans="1:30" x14ac:dyDescent="0.25">
      <c r="B7" t="str">
        <f>[2]Onduleurs!$A7</f>
        <v>KF-SPI100K-B</v>
      </c>
      <c r="C7" t="str">
        <f>[2]Onduleurs!$B7</f>
        <v>KEHUA</v>
      </c>
      <c r="D7">
        <f>[2]Onduleurs!$C7</f>
        <v>100</v>
      </c>
      <c r="E7">
        <f>[2]Onduleurs!$F7</f>
        <v>345</v>
      </c>
      <c r="F7">
        <f>[2]Onduleurs!$G7</f>
        <v>450</v>
      </c>
      <c r="H7" t="str">
        <f>[2]Panneaux!$B7</f>
        <v>DM460M6-72HSW/-V</v>
      </c>
      <c r="I7" t="str">
        <f>[2]Panneaux!$C7</f>
        <v>DMEGC</v>
      </c>
      <c r="J7">
        <f>[2]Panneaux!$D7</f>
        <v>455</v>
      </c>
      <c r="K7">
        <f>[2]Panneaux!$E7</f>
        <v>1038</v>
      </c>
      <c r="L7">
        <f>[2]Panneaux!$F7</f>
        <v>2094</v>
      </c>
      <c r="M7" s="13">
        <f>[2]Panneaux!$H7</f>
        <v>0</v>
      </c>
      <c r="N7">
        <f>[2]Panneaux!$I7</f>
        <v>0</v>
      </c>
      <c r="P7" t="str">
        <f>'[2]Systemes Integration'!$A7</f>
        <v>Helios B²</v>
      </c>
      <c r="Q7" t="str">
        <f>'[2]Systemes Integration'!$B7</f>
        <v>Dome-Solar</v>
      </c>
      <c r="R7">
        <f>'[2]Systemes Integration'!$E7</f>
        <v>0</v>
      </c>
      <c r="V7" s="2">
        <v>16</v>
      </c>
      <c r="AA7" s="20"/>
      <c r="AD7">
        <f>'[2]Type Toiture'!$G7</f>
        <v>0</v>
      </c>
    </row>
    <row r="8" spans="1:30" x14ac:dyDescent="0.25">
      <c r="B8" t="str">
        <f>[2]Onduleurs!$A8</f>
        <v>KF-SPI125K-B</v>
      </c>
      <c r="C8" t="str">
        <f>[2]Onduleurs!$B8</f>
        <v>KEHUA</v>
      </c>
      <c r="D8">
        <f>[2]Onduleurs!$C8</f>
        <v>125</v>
      </c>
      <c r="E8">
        <f>[2]Onduleurs!$F8</f>
        <v>360</v>
      </c>
      <c r="F8">
        <f>[2]Onduleurs!$G8</f>
        <v>450</v>
      </c>
      <c r="H8" t="str">
        <f>[2]Panneaux!$B8</f>
        <v>DM500M10RT-B60HBT</v>
      </c>
      <c r="I8" t="str">
        <f>[2]Panneaux!$C8</f>
        <v>DMEGC</v>
      </c>
      <c r="J8">
        <f>[2]Panneaux!$D8</f>
        <v>500</v>
      </c>
      <c r="K8">
        <f>[2]Panneaux!$E8</f>
        <v>1134</v>
      </c>
      <c r="L8">
        <f>[2]Panneaux!$F8</f>
        <v>1950</v>
      </c>
      <c r="M8" s="13">
        <f>[2]Panneaux!$H8</f>
        <v>44.22</v>
      </c>
      <c r="N8">
        <f>[2]Panneaux!$I8</f>
        <v>14.04</v>
      </c>
      <c r="P8" t="str">
        <f>'[2]Systemes Integration'!$A8</f>
        <v>Ital Solar</v>
      </c>
      <c r="Q8" t="str">
        <f>'[2]Systemes Integration'!$B8</f>
        <v>Dome-Solar</v>
      </c>
      <c r="R8">
        <f>'[2]Systemes Integration'!$E8</f>
        <v>0</v>
      </c>
      <c r="V8" s="2">
        <v>25</v>
      </c>
      <c r="AD8">
        <f>'[2]Type Toiture'!$G8</f>
        <v>0</v>
      </c>
    </row>
    <row r="9" spans="1:30" x14ac:dyDescent="0.25">
      <c r="B9" t="str">
        <f>[2]Onduleurs!$A9</f>
        <v>KF-SPI40K-B</v>
      </c>
      <c r="C9" t="str">
        <f>[2]Onduleurs!$B9</f>
        <v>KEHUA</v>
      </c>
      <c r="D9">
        <f>[2]Onduleurs!$C9</f>
        <v>40</v>
      </c>
      <c r="E9">
        <f>[2]Onduleurs!$F9</f>
        <v>273</v>
      </c>
      <c r="F9">
        <f>[2]Onduleurs!$G9</f>
        <v>500</v>
      </c>
      <c r="H9" t="str">
        <f>[2]Panneaux!$B9</f>
        <v>DN-BT108N</v>
      </c>
      <c r="I9" t="str">
        <f>[2]Panneaux!$C9</f>
        <v>DUONERGY</v>
      </c>
      <c r="J9">
        <f>[2]Panneaux!$D9</f>
        <v>410</v>
      </c>
      <c r="K9">
        <f>[2]Panneaux!$E9</f>
        <v>1134</v>
      </c>
      <c r="L9">
        <f>[2]Panneaux!$F9</f>
        <v>1728</v>
      </c>
      <c r="M9" s="13">
        <f>[2]Panneaux!$H9</f>
        <v>0</v>
      </c>
      <c r="N9">
        <f>[2]Panneaux!$I9</f>
        <v>0</v>
      </c>
      <c r="P9" t="str">
        <f>'[2]Systemes Integration'!$A9</f>
        <v>JoriSolar RS-R</v>
      </c>
      <c r="Q9" t="str">
        <f>'[2]Systemes Integration'!$B9</f>
        <v>Joris-IDE</v>
      </c>
      <c r="R9">
        <f>'[2]Systemes Integration'!$E9</f>
        <v>0</v>
      </c>
      <c r="V9" s="2">
        <v>35</v>
      </c>
    </row>
    <row r="10" spans="1:30" x14ac:dyDescent="0.25">
      <c r="B10" t="str">
        <f>[2]Onduleurs!$A10</f>
        <v>KF-SPI60K-B</v>
      </c>
      <c r="C10" t="str">
        <f>[2]Onduleurs!$B10</f>
        <v>KEHUA</v>
      </c>
      <c r="D10">
        <f>[2]Onduleurs!$C10</f>
        <v>60</v>
      </c>
      <c r="E10">
        <f>[2]Onduleurs!$F10</f>
        <v>273</v>
      </c>
      <c r="F10">
        <f>[2]Onduleurs!$G10</f>
        <v>500</v>
      </c>
      <c r="H10" t="str">
        <f>[2]Panneaux!$B10</f>
        <v>DUOMAX TWIN 365</v>
      </c>
      <c r="I10" t="str">
        <f>[2]Panneaux!$C10</f>
        <v>TRINA SOLAR</v>
      </c>
      <c r="J10">
        <f>[2]Panneaux!$D10</f>
        <v>365</v>
      </c>
      <c r="K10">
        <f>[2]Panneaux!$E10</f>
        <v>1046</v>
      </c>
      <c r="L10">
        <f>[2]Panneaux!$F10</f>
        <v>1773</v>
      </c>
      <c r="M10" s="13">
        <f>[2]Panneaux!$H10</f>
        <v>0</v>
      </c>
      <c r="N10">
        <f>[2]Panneaux!$I10</f>
        <v>0</v>
      </c>
      <c r="P10" t="str">
        <f>'[2]Systemes Integration'!$A10</f>
        <v>K2 Dome Zero</v>
      </c>
      <c r="Q10" t="str">
        <f>'[2]Systemes Integration'!$B10</f>
        <v>K2 systerms</v>
      </c>
      <c r="R10">
        <f>'[2]Systemes Integration'!$E10</f>
        <v>2</v>
      </c>
      <c r="V10" s="2">
        <v>50</v>
      </c>
    </row>
    <row r="11" spans="1:30" x14ac:dyDescent="0.25">
      <c r="B11" t="str">
        <f>[2]Onduleurs!$A11</f>
        <v>M13T</v>
      </c>
      <c r="C11" t="str">
        <f>[2]Onduleurs!$B11</f>
        <v>SOLARMAX</v>
      </c>
      <c r="D11">
        <f>[2]Onduleurs!$C11</f>
        <v>13</v>
      </c>
      <c r="E11">
        <f>[2]Onduleurs!$F11</f>
        <v>0</v>
      </c>
      <c r="F11">
        <f>[2]Onduleurs!$G11</f>
        <v>0</v>
      </c>
      <c r="H11" t="str">
        <f>[2]Panneaux!$B11</f>
        <v>FLASH 405 HC WHITE</v>
      </c>
      <c r="I11" t="str">
        <f>[2]Panneaux!$C11</f>
        <v>DUALSUN</v>
      </c>
      <c r="J11">
        <f>[2]Panneaux!$D11</f>
        <v>405</v>
      </c>
      <c r="K11">
        <f>[2]Panneaux!$E11</f>
        <v>1134</v>
      </c>
      <c r="L11">
        <f>[2]Panneaux!$F11</f>
        <v>1708</v>
      </c>
      <c r="M11" s="13">
        <f>[2]Panneaux!$H11</f>
        <v>0</v>
      </c>
      <c r="N11">
        <f>[2]Panneaux!$I11</f>
        <v>0</v>
      </c>
      <c r="P11" t="str">
        <f>'[2]Systemes Integration'!$A11</f>
        <v>MV€</v>
      </c>
      <c r="Q11" t="str">
        <f>'[2]Systemes Integration'!$B11</f>
        <v>Mecosun</v>
      </c>
      <c r="R11">
        <f>'[2]Systemes Integration'!$E11</f>
        <v>15</v>
      </c>
      <c r="V11" s="2">
        <v>70</v>
      </c>
    </row>
    <row r="12" spans="1:30" x14ac:dyDescent="0.25">
      <c r="B12" t="str">
        <f>[2]Onduleurs!$A12</f>
        <v>PICO CI 60</v>
      </c>
      <c r="C12" t="str">
        <f>[2]Onduleurs!$B12</f>
        <v>KOSTAL</v>
      </c>
      <c r="D12">
        <f>[2]Onduleurs!$C12</f>
        <v>60</v>
      </c>
      <c r="E12">
        <f>[2]Onduleurs!$F12</f>
        <v>0</v>
      </c>
      <c r="F12">
        <f>[2]Onduleurs!$G12</f>
        <v>0</v>
      </c>
      <c r="H12" t="str">
        <f>[2]Panneaux!$B12</f>
        <v>JAM54S30-405/MR</v>
      </c>
      <c r="I12" t="str">
        <f>[2]Panneaux!$C12</f>
        <v>JA SOLAR</v>
      </c>
      <c r="J12">
        <f>[2]Panneaux!$D12</f>
        <v>405</v>
      </c>
      <c r="K12">
        <f>[2]Panneaux!$E12</f>
        <v>1134</v>
      </c>
      <c r="L12">
        <f>[2]Panneaux!$F12</f>
        <v>1722</v>
      </c>
      <c r="M12" s="13">
        <f>[2]Panneaux!$H12</f>
        <v>0</v>
      </c>
      <c r="N12">
        <f>[2]Panneaux!$I12</f>
        <v>0</v>
      </c>
      <c r="P12" t="str">
        <f>'[2]Systemes Integration'!$A12</f>
        <v>MVU</v>
      </c>
      <c r="Q12" t="str">
        <f>'[2]Systemes Integration'!$B12</f>
        <v>Mecosun</v>
      </c>
      <c r="R12">
        <f>'[2]Systemes Integration'!$E12</f>
        <v>0</v>
      </c>
      <c r="V12" s="2">
        <v>95</v>
      </c>
    </row>
    <row r="13" spans="1:30" x14ac:dyDescent="0.25">
      <c r="B13" t="str">
        <f>[2]Onduleurs!$A13</f>
        <v>QS1</v>
      </c>
      <c r="C13" t="str">
        <f>[2]Onduleurs!$B13</f>
        <v>AP SYSTEMS</v>
      </c>
      <c r="D13">
        <f>[2]Onduleurs!$C13</f>
        <v>1.2</v>
      </c>
      <c r="E13">
        <f>[2]Onduleurs!$F13</f>
        <v>0</v>
      </c>
      <c r="F13">
        <f>[2]Onduleurs!$G13</f>
        <v>0</v>
      </c>
      <c r="H13" t="str">
        <f>[2]Panneaux!$B13</f>
        <v>JAM60S10-345</v>
      </c>
      <c r="I13" t="str">
        <f>[2]Panneaux!$C13</f>
        <v>JA SOLAR</v>
      </c>
      <c r="J13">
        <f>[2]Panneaux!$D13</f>
        <v>345</v>
      </c>
      <c r="K13">
        <f>[2]Panneaux!$E13</f>
        <v>0</v>
      </c>
      <c r="L13">
        <f>[2]Panneaux!$F13</f>
        <v>0</v>
      </c>
      <c r="M13" s="13">
        <f>[2]Panneaux!$H13</f>
        <v>0</v>
      </c>
      <c r="N13">
        <f>[2]Panneaux!$I13</f>
        <v>0</v>
      </c>
      <c r="P13" t="str">
        <f>'[2]Systemes Integration'!$A13</f>
        <v>Novotegra</v>
      </c>
      <c r="Q13">
        <f>'[2]Systemes Integration'!$B13</f>
        <v>0</v>
      </c>
      <c r="R13">
        <f>'[2]Systemes Integration'!$E13</f>
        <v>0</v>
      </c>
      <c r="V13" s="2">
        <v>120</v>
      </c>
    </row>
    <row r="14" spans="1:30" x14ac:dyDescent="0.25">
      <c r="B14" t="str">
        <f>[2]Onduleurs!$A14</f>
        <v>QT2</v>
      </c>
      <c r="C14" t="str">
        <f>[2]Onduleurs!$B14</f>
        <v>AP SYSTEMS</v>
      </c>
      <c r="D14">
        <f>[2]Onduleurs!$C14</f>
        <v>2</v>
      </c>
      <c r="E14">
        <f>[2]Onduleurs!$F14</f>
        <v>0</v>
      </c>
      <c r="F14">
        <f>[2]Onduleurs!$G14</f>
        <v>0</v>
      </c>
      <c r="H14" t="str">
        <f>[2]Panneaux!$B14</f>
        <v>JKM450N-54HL4R</v>
      </c>
      <c r="I14" t="str">
        <f>[2]Panneaux!$C14</f>
        <v>JINKO SOLAR</v>
      </c>
      <c r="J14">
        <f>[2]Panneaux!$D14</f>
        <v>450</v>
      </c>
      <c r="K14">
        <f>[2]Panneaux!$E14</f>
        <v>1134</v>
      </c>
      <c r="L14">
        <f>[2]Panneaux!$F14</f>
        <v>1762</v>
      </c>
      <c r="M14" s="13">
        <f>[2]Panneaux!$H14</f>
        <v>39.78</v>
      </c>
      <c r="N14">
        <f>[2]Panneaux!$I14</f>
        <v>14</v>
      </c>
      <c r="P14" t="str">
        <f>'[2]Systemes Integration'!$A14</f>
        <v>Opti Roof</v>
      </c>
      <c r="Q14" t="str">
        <f>'[2]Systemes Integration'!$B14</f>
        <v>Joris IDE</v>
      </c>
      <c r="R14">
        <f>'[2]Systemes Integration'!$E14</f>
        <v>0</v>
      </c>
      <c r="V14" s="2">
        <v>150</v>
      </c>
    </row>
    <row r="15" spans="1:30" x14ac:dyDescent="0.25">
      <c r="B15" t="str">
        <f>[2]Onduleurs!$A15</f>
        <v>SE82.8K</v>
      </c>
      <c r="C15" t="str">
        <f>[2]Onduleurs!$B15</f>
        <v>SOLAR EDGE</v>
      </c>
      <c r="D15">
        <f>[2]Onduleurs!$C15</f>
        <v>82.8</v>
      </c>
      <c r="E15">
        <f>[2]Onduleurs!$F15</f>
        <v>0</v>
      </c>
      <c r="F15">
        <f>[2]Onduleurs!$G15</f>
        <v>0</v>
      </c>
      <c r="H15" t="str">
        <f>[2]Panneaux!$B15</f>
        <v>JW-HD120N-370</v>
      </c>
      <c r="I15" t="str">
        <f>[2]Panneaux!$C15</f>
        <v>JOLYWOOD</v>
      </c>
      <c r="J15">
        <f>[2]Panneaux!$D15</f>
        <v>370</v>
      </c>
      <c r="K15">
        <f>[2]Panneaux!$E15</f>
        <v>1042</v>
      </c>
      <c r="L15">
        <f>[2]Panneaux!$F15</f>
        <v>1768</v>
      </c>
      <c r="M15" s="13">
        <f>[2]Panneaux!$H15</f>
        <v>0</v>
      </c>
      <c r="N15">
        <f>[2]Panneaux!$I15</f>
        <v>0</v>
      </c>
      <c r="P15" t="str">
        <f>'[2]Systemes Integration'!$A15</f>
        <v>Optima</v>
      </c>
      <c r="Q15" t="str">
        <f>'[2]Systemes Integration'!$B15</f>
        <v>Adi-Watt</v>
      </c>
      <c r="R15">
        <f>'[2]Systemes Integration'!$E15</f>
        <v>10</v>
      </c>
      <c r="V15" s="2">
        <v>185</v>
      </c>
    </row>
    <row r="16" spans="1:30" x14ac:dyDescent="0.25">
      <c r="B16" t="str">
        <f>[2]Onduleurs!$A16</f>
        <v>SE90K</v>
      </c>
      <c r="C16" t="str">
        <f>[2]Onduleurs!$B16</f>
        <v>SOLAR EDGE</v>
      </c>
      <c r="D16">
        <f>[2]Onduleurs!$C16</f>
        <v>90</v>
      </c>
      <c r="E16">
        <f>[2]Onduleurs!$F16</f>
        <v>0</v>
      </c>
      <c r="F16">
        <f>[2]Onduleurs!$G16</f>
        <v>0</v>
      </c>
      <c r="H16" t="str">
        <f>[2]Panneaux!$B16</f>
        <v>LR4-60HIH-375M</v>
      </c>
      <c r="I16" t="str">
        <f>[2]Panneaux!$C16</f>
        <v>LONGI</v>
      </c>
      <c r="J16">
        <f>[2]Panneaux!$D16</f>
        <v>375</v>
      </c>
      <c r="K16">
        <f>[2]Panneaux!$E16</f>
        <v>1038</v>
      </c>
      <c r="L16">
        <f>[2]Panneaux!$F16</f>
        <v>1755</v>
      </c>
      <c r="M16" s="13">
        <f>[2]Panneaux!$H16</f>
        <v>0</v>
      </c>
      <c r="N16">
        <f>[2]Panneaux!$I16</f>
        <v>0</v>
      </c>
      <c r="P16" t="str">
        <f>'[2]Systemes Integration'!$A16</f>
        <v>Prima</v>
      </c>
      <c r="Q16" t="str">
        <f>'[2]Systemes Integration'!$B16</f>
        <v>Adi-Watt</v>
      </c>
      <c r="R16">
        <f>'[2]Systemes Integration'!$E16</f>
        <v>0</v>
      </c>
      <c r="V16" s="2">
        <v>240</v>
      </c>
    </row>
    <row r="17" spans="2:22" x14ac:dyDescent="0.25">
      <c r="B17" t="str">
        <f>[2]Onduleurs!$A17</f>
        <v>SG110CX-V112</v>
      </c>
      <c r="C17" t="str">
        <f>[2]Onduleurs!$B17</f>
        <v>SUNGROW</v>
      </c>
      <c r="D17">
        <f>[2]Onduleurs!$C17</f>
        <v>110</v>
      </c>
      <c r="E17">
        <f>[2]Onduleurs!$F17</f>
        <v>363</v>
      </c>
      <c r="F17">
        <f>[2]Onduleurs!$G17</f>
        <v>450</v>
      </c>
      <c r="H17" t="str">
        <f>[2]Panneaux!$B17</f>
        <v>LR5-54HIH-405M</v>
      </c>
      <c r="I17" t="str">
        <f>[2]Panneaux!$C17</f>
        <v>LONGI</v>
      </c>
      <c r="J17">
        <f>[2]Panneaux!$D17</f>
        <v>405</v>
      </c>
      <c r="K17">
        <f>[2]Panneaux!$E17</f>
        <v>1134</v>
      </c>
      <c r="L17">
        <f>[2]Panneaux!$F17</f>
        <v>1722</v>
      </c>
      <c r="M17" s="13">
        <f>[2]Panneaux!$H17</f>
        <v>0</v>
      </c>
      <c r="N17">
        <f>[2]Panneaux!$I17</f>
        <v>0</v>
      </c>
      <c r="P17" t="str">
        <f>'[2]Systemes Integration'!$A17</f>
        <v>Profil FR</v>
      </c>
      <c r="Q17">
        <f>'[2]Systemes Integration'!$B17</f>
        <v>0</v>
      </c>
      <c r="R17">
        <f>'[2]Systemes Integration'!$E17</f>
        <v>0</v>
      </c>
      <c r="V17" s="2">
        <v>300</v>
      </c>
    </row>
    <row r="18" spans="2:22" x14ac:dyDescent="0.25">
      <c r="B18" t="str">
        <f>[2]Onduleurs!$A18</f>
        <v>SG125CX-P2</v>
      </c>
      <c r="C18" t="str">
        <f>[2]Onduleurs!$B18</f>
        <v>SUNGROW</v>
      </c>
      <c r="D18">
        <f>[2]Onduleurs!$C18</f>
        <v>125</v>
      </c>
      <c r="E18">
        <f>[2]Onduleurs!$F18</f>
        <v>360</v>
      </c>
      <c r="F18">
        <f>[2]Onduleurs!$G18</f>
        <v>450</v>
      </c>
      <c r="H18" t="str">
        <f>[2]Panneaux!$B18</f>
        <v>MODELE DEPOT</v>
      </c>
      <c r="I18">
        <f>[2]Panneaux!$C18</f>
        <v>0</v>
      </c>
      <c r="J18">
        <f>[2]Panneaux!$D18</f>
        <v>280</v>
      </c>
      <c r="K18">
        <f>[2]Panneaux!$E18</f>
        <v>0</v>
      </c>
      <c r="L18">
        <f>[2]Panneaux!$F18</f>
        <v>0</v>
      </c>
      <c r="M18" s="13">
        <f>[2]Panneaux!$H18</f>
        <v>0</v>
      </c>
      <c r="N18">
        <f>[2]Panneaux!$I18</f>
        <v>0</v>
      </c>
      <c r="P18" t="str">
        <f>'[2]Systemes Integration'!$A18</f>
        <v>R-Volt</v>
      </c>
      <c r="Q18">
        <f>'[2]Systemes Integration'!$B18</f>
        <v>0</v>
      </c>
      <c r="R18">
        <f>'[2]Systemes Integration'!$E18</f>
        <v>0</v>
      </c>
      <c r="V18" s="2">
        <v>400</v>
      </c>
    </row>
    <row r="19" spans="2:22" x14ac:dyDescent="0.25">
      <c r="B19" t="str">
        <f>[2]Onduleurs!$A19</f>
        <v>SG15RT</v>
      </c>
      <c r="C19" t="str">
        <f>[2]Onduleurs!$B19</f>
        <v>SUNGROW</v>
      </c>
      <c r="D19">
        <f>[2]Onduleurs!$C19</f>
        <v>15</v>
      </c>
      <c r="E19">
        <f>[2]Onduleurs!$F19</f>
        <v>0</v>
      </c>
      <c r="F19">
        <f>[2]Onduleurs!$G19</f>
        <v>0</v>
      </c>
      <c r="H19" t="str">
        <f>[2]Panneaux!$B19</f>
        <v>MULTISOL P6-54 210</v>
      </c>
      <c r="I19" t="str">
        <f>[2]Panneaux!$C19</f>
        <v>SCHEUTEN</v>
      </c>
      <c r="J19">
        <f>[2]Panneaux!$D19</f>
        <v>210</v>
      </c>
      <c r="K19">
        <f>[2]Panneaux!$E19</f>
        <v>1000</v>
      </c>
      <c r="L19">
        <f>[2]Panneaux!$F19</f>
        <v>1500</v>
      </c>
      <c r="M19" s="13">
        <f>[2]Panneaux!$H19</f>
        <v>0</v>
      </c>
      <c r="N19">
        <f>[2]Panneaux!$I19</f>
        <v>0</v>
      </c>
      <c r="P19" t="str">
        <f>'[2]Systemes Integration'!$A19</f>
        <v>S360M</v>
      </c>
      <c r="Q19">
        <f>'[2]Systemes Integration'!$B19</f>
        <v>0</v>
      </c>
      <c r="R19">
        <f>'[2]Systemes Integration'!$E19</f>
        <v>0</v>
      </c>
      <c r="V19" s="2">
        <v>500</v>
      </c>
    </row>
    <row r="20" spans="2:22" x14ac:dyDescent="0.25">
      <c r="B20" t="str">
        <f>[2]Onduleurs!$A20</f>
        <v>SG20RT</v>
      </c>
      <c r="C20" t="str">
        <f>[2]Onduleurs!$B20</f>
        <v>SUNGROW</v>
      </c>
      <c r="D20">
        <f>[2]Onduleurs!$C20</f>
        <v>20</v>
      </c>
      <c r="E20">
        <f>[2]Onduleurs!$F20</f>
        <v>0</v>
      </c>
      <c r="F20">
        <f>[2]Onduleurs!$G20</f>
        <v>0</v>
      </c>
      <c r="H20" t="str">
        <f>[2]Panneaux!$B20</f>
        <v>TP660M-320</v>
      </c>
      <c r="I20" t="str">
        <f>[2]Panneaux!$C20</f>
        <v>TALESUN</v>
      </c>
      <c r="J20">
        <f>[2]Panneaux!$D20</f>
        <v>320</v>
      </c>
      <c r="K20">
        <f>[2]Panneaux!$E20</f>
        <v>992</v>
      </c>
      <c r="L20">
        <f>[2]Panneaux!$F20</f>
        <v>1650</v>
      </c>
      <c r="M20" s="13">
        <f>[2]Panneaux!$H20</f>
        <v>0</v>
      </c>
      <c r="N20">
        <f>[2]Panneaux!$I20</f>
        <v>0</v>
      </c>
      <c r="P20" t="str">
        <f>'[2]Systemes Integration'!$A20</f>
        <v>RS-Evo</v>
      </c>
      <c r="Q20" t="str">
        <f>'[2]Systemes Integration'!$B20</f>
        <v>ES-Dec</v>
      </c>
      <c r="R20">
        <f>'[2]Systemes Integration'!$E20</f>
        <v>0</v>
      </c>
      <c r="V20" s="2">
        <v>630</v>
      </c>
    </row>
    <row r="21" spans="2:22" x14ac:dyDescent="0.25">
      <c r="B21" t="str">
        <f>[2]Onduleurs!$A21</f>
        <v>SG33CX</v>
      </c>
      <c r="C21" t="str">
        <f>[2]Onduleurs!$B21</f>
        <v>SUNGROW</v>
      </c>
      <c r="D21">
        <f>[2]Onduleurs!$C21</f>
        <v>33</v>
      </c>
      <c r="E21">
        <f>[2]Onduleurs!$F21</f>
        <v>310</v>
      </c>
      <c r="F21">
        <f>[2]Onduleurs!$G21</f>
        <v>650</v>
      </c>
      <c r="H21" t="str">
        <f>[2]Panneaux!$B21</f>
        <v>TP6F60M-340</v>
      </c>
      <c r="I21" t="str">
        <f>[2]Panneaux!$C21</f>
        <v>TALESUN</v>
      </c>
      <c r="J21">
        <f>[2]Panneaux!$D21</f>
        <v>340</v>
      </c>
      <c r="K21">
        <f>[2]Panneaux!$E21</f>
        <v>1002</v>
      </c>
      <c r="L21">
        <f>[2]Panneaux!$F21</f>
        <v>1684</v>
      </c>
      <c r="M21" s="13">
        <f>[2]Panneaux!$H21</f>
        <v>0</v>
      </c>
      <c r="N21">
        <f>[2]Panneaux!$I21</f>
        <v>0</v>
      </c>
    </row>
    <row r="22" spans="2:22" x14ac:dyDescent="0.25">
      <c r="B22" t="str">
        <f>[2]Onduleurs!$A22</f>
        <v>SG50CX</v>
      </c>
      <c r="C22" t="str">
        <f>[2]Onduleurs!$B22</f>
        <v>SUNGROW</v>
      </c>
      <c r="D22">
        <f>[2]Onduleurs!$C22</f>
        <v>55</v>
      </c>
      <c r="E22">
        <f>[2]Onduleurs!$F22</f>
        <v>0</v>
      </c>
      <c r="F22">
        <f>[2]Onduleurs!$G22</f>
        <v>0</v>
      </c>
      <c r="H22" t="str">
        <f>[2]Panneaux!$B22</f>
        <v>TRINA 340</v>
      </c>
      <c r="I22" t="str">
        <f>[2]Panneaux!$C22</f>
        <v>TRINA SOLAR</v>
      </c>
      <c r="J22">
        <f>[2]Panneaux!$D22</f>
        <v>340</v>
      </c>
      <c r="K22">
        <f>[2]Panneaux!$E22</f>
        <v>1004</v>
      </c>
      <c r="L22">
        <f>[2]Panneaux!$F22</f>
        <v>1698</v>
      </c>
      <c r="M22" s="13">
        <f>[2]Panneaux!$H22</f>
        <v>0</v>
      </c>
      <c r="N22">
        <f>[2]Panneaux!$I22</f>
        <v>0</v>
      </c>
    </row>
    <row r="23" spans="2:22" x14ac:dyDescent="0.25">
      <c r="B23" t="str">
        <f>[2]Onduleurs!$A23</f>
        <v>SUN2000-100KTL</v>
      </c>
      <c r="C23" t="str">
        <f>[2]Onduleurs!$B23</f>
        <v>HUAWEI</v>
      </c>
      <c r="D23">
        <f>[2]Onduleurs!$C23</f>
        <v>100</v>
      </c>
      <c r="E23">
        <f>[2]Onduleurs!$F23</f>
        <v>365</v>
      </c>
      <c r="F23">
        <f>[2]Onduleurs!$G23</f>
        <v>600</v>
      </c>
      <c r="H23" t="str">
        <f>[2]Panneaux!$B23</f>
        <v>TSM DE06M.08</v>
      </c>
      <c r="I23" t="str">
        <f>[2]Panneaux!$C23</f>
        <v>TRINA SOLAR</v>
      </c>
      <c r="J23">
        <f>[2]Panneaux!$D23</f>
        <v>335</v>
      </c>
      <c r="K23">
        <f>[2]Panneaux!$E23</f>
        <v>0</v>
      </c>
      <c r="L23">
        <f>[2]Panneaux!$F23</f>
        <v>0</v>
      </c>
      <c r="M23" s="13">
        <f>[2]Panneaux!$H23</f>
        <v>0</v>
      </c>
      <c r="N23">
        <f>[2]Panneaux!$I23</f>
        <v>0</v>
      </c>
    </row>
    <row r="24" spans="2:22" x14ac:dyDescent="0.25">
      <c r="B24" t="str">
        <f>[2]Onduleurs!$A24</f>
        <v>SUN2000-10KTL-M2</v>
      </c>
      <c r="C24" t="str">
        <f>[2]Onduleurs!$B24</f>
        <v>HUAWEI</v>
      </c>
      <c r="D24">
        <f>[2]Onduleurs!$C24</f>
        <v>10</v>
      </c>
      <c r="E24">
        <f>[2]Onduleurs!$F24</f>
        <v>262</v>
      </c>
      <c r="F24">
        <f>[2]Onduleurs!$G24</f>
        <v>400</v>
      </c>
      <c r="H24" t="str">
        <f>[2]Panneaux!$B24</f>
        <v>TSM-DE08M.08</v>
      </c>
      <c r="I24" t="str">
        <f>[2]Panneaux!$C24</f>
        <v>TRINA SOLAR</v>
      </c>
      <c r="J24">
        <f>[2]Panneaux!$D24</f>
        <v>375</v>
      </c>
      <c r="K24">
        <f>[2]Panneaux!$E24</f>
        <v>0</v>
      </c>
      <c r="L24">
        <f>[2]Panneaux!$F24</f>
        <v>0</v>
      </c>
      <c r="M24" s="13">
        <f>[2]Panneaux!$H24</f>
        <v>0</v>
      </c>
      <c r="N24">
        <f>[2]Panneaux!$I24</f>
        <v>0</v>
      </c>
    </row>
    <row r="25" spans="2:22" x14ac:dyDescent="0.25">
      <c r="B25" t="str">
        <f>[2]Onduleurs!$A25</f>
        <v>SUN2000-110KTL</v>
      </c>
      <c r="C25" t="str">
        <f>[2]Onduleurs!$B25</f>
        <v>HUAWEI</v>
      </c>
      <c r="D25">
        <f>[2]Onduleurs!$C25</f>
        <v>110</v>
      </c>
      <c r="E25">
        <f>[2]Onduleurs!$F25</f>
        <v>365</v>
      </c>
      <c r="F25">
        <f>[2]Onduleurs!$G25</f>
        <v>600</v>
      </c>
      <c r="H25" t="str">
        <f>[2]Panneaux!$B25</f>
        <v>VERTEX 400</v>
      </c>
      <c r="I25" t="str">
        <f>[2]Panneaux!$C25</f>
        <v>TRINA SOLAR</v>
      </c>
      <c r="J25">
        <f>[2]Panneaux!$D25</f>
        <v>400</v>
      </c>
      <c r="K25">
        <f>[2]Panneaux!$E25</f>
        <v>1096</v>
      </c>
      <c r="L25">
        <f>[2]Panneaux!$F25</f>
        <v>1754</v>
      </c>
      <c r="M25" s="13">
        <f>[2]Panneaux!$H25</f>
        <v>41.2</v>
      </c>
      <c r="N25">
        <f>[2]Panneaux!$I25</f>
        <v>0</v>
      </c>
    </row>
    <row r="26" spans="2:22" x14ac:dyDescent="0.25">
      <c r="B26" t="str">
        <f>[2]Onduleurs!$A26</f>
        <v>SUN2000-115KTL</v>
      </c>
      <c r="C26" t="str">
        <f>[2]Onduleurs!$B26</f>
        <v>HUAWEI</v>
      </c>
      <c r="D26">
        <f>[2]Onduleurs!$C26</f>
        <v>115</v>
      </c>
      <c r="E26">
        <f>[2]Onduleurs!$F26</f>
        <v>365</v>
      </c>
      <c r="F26">
        <f>[2]Onduleurs!$G26</f>
        <v>600</v>
      </c>
      <c r="H26" t="str">
        <f>[2]Panneaux!$B26</f>
        <v>VERTEX 405</v>
      </c>
      <c r="I26" t="str">
        <f>[2]Panneaux!$C26</f>
        <v>TRINA SOLAR</v>
      </c>
      <c r="J26">
        <f>[2]Panneaux!$D26</f>
        <v>405</v>
      </c>
      <c r="K26">
        <f>[2]Panneaux!$E26</f>
        <v>1096</v>
      </c>
      <c r="L26">
        <f>[2]Panneaux!$F26</f>
        <v>1754</v>
      </c>
      <c r="M26" s="13">
        <f>[2]Panneaux!$H26</f>
        <v>0</v>
      </c>
      <c r="N26">
        <f>[2]Panneaux!$I26</f>
        <v>0</v>
      </c>
    </row>
    <row r="27" spans="2:22" x14ac:dyDescent="0.25">
      <c r="B27" t="str">
        <f>[2]Onduleurs!$A27</f>
        <v>SUN2000-125KTL</v>
      </c>
      <c r="C27" t="str">
        <f>[2]Onduleurs!$B27</f>
        <v>HUAWEI</v>
      </c>
      <c r="D27">
        <f>[2]Onduleurs!$C27</f>
        <v>125</v>
      </c>
      <c r="E27">
        <f>[2]Onduleurs!$F27</f>
        <v>0</v>
      </c>
      <c r="F27">
        <f>[2]Onduleurs!$G27</f>
        <v>0</v>
      </c>
      <c r="H27" t="str">
        <f>[2]Panneaux!$B27</f>
        <v>VERTEX 420</v>
      </c>
      <c r="I27" t="str">
        <f>[2]Panneaux!$C27</f>
        <v>TRINA SOLAR</v>
      </c>
      <c r="J27">
        <f>[2]Panneaux!$D27</f>
        <v>420</v>
      </c>
      <c r="K27">
        <f>[2]Panneaux!$E27</f>
        <v>1134</v>
      </c>
      <c r="L27">
        <f>[2]Panneaux!$F27</f>
        <v>1762</v>
      </c>
      <c r="M27" s="13">
        <f>[2]Panneaux!$H27</f>
        <v>0</v>
      </c>
      <c r="N27">
        <f>[2]Panneaux!$I27</f>
        <v>0</v>
      </c>
    </row>
    <row r="28" spans="2:22" x14ac:dyDescent="0.25">
      <c r="B28" t="str">
        <f>[2]Onduleurs!$A28</f>
        <v>SUN2000-20KTL</v>
      </c>
      <c r="C28" t="str">
        <f>[2]Onduleurs!$B28</f>
        <v>HUAWEI</v>
      </c>
      <c r="D28">
        <f>[2]Onduleurs!$C28</f>
        <v>20</v>
      </c>
      <c r="E28">
        <f>[2]Onduleurs!$F28</f>
        <v>228</v>
      </c>
      <c r="F28">
        <f>[2]Onduleurs!$G28</f>
        <v>1000</v>
      </c>
      <c r="H28" t="str">
        <f>[2]Panneaux!$B28</f>
        <v>VERTEX 425</v>
      </c>
      <c r="I28" t="str">
        <f>[2]Panneaux!$C28</f>
        <v>TRINA SOLAR</v>
      </c>
      <c r="J28">
        <f>[2]Panneaux!$D28</f>
        <v>425</v>
      </c>
      <c r="K28">
        <f>[2]Panneaux!$E28</f>
        <v>1134</v>
      </c>
      <c r="L28">
        <f>[2]Panneaux!$F28</f>
        <v>1762</v>
      </c>
      <c r="M28" s="13">
        <f>[2]Panneaux!$H28</f>
        <v>0</v>
      </c>
      <c r="N28">
        <f>[2]Panneaux!$I28</f>
        <v>0</v>
      </c>
    </row>
    <row r="29" spans="2:22" x14ac:dyDescent="0.25">
      <c r="B29" t="str">
        <f>[2]Onduleurs!$A29</f>
        <v>SUN2000-30KTL</v>
      </c>
      <c r="C29" t="str">
        <f>[2]Onduleurs!$B29</f>
        <v>HUAWEI</v>
      </c>
      <c r="D29">
        <f>[2]Onduleurs!$C29</f>
        <v>30</v>
      </c>
      <c r="E29">
        <f>[2]Onduleurs!$F29</f>
        <v>270</v>
      </c>
      <c r="F29">
        <f>[2]Onduleurs!$G29</f>
        <v>600</v>
      </c>
      <c r="H29" t="str">
        <f>[2]Panneaux!$B29</f>
        <v>VERTEX 430</v>
      </c>
      <c r="I29" t="str">
        <f>[2]Panneaux!$C29</f>
        <v>TRINA SOLAR</v>
      </c>
      <c r="J29">
        <f>[2]Panneaux!$D29</f>
        <v>430</v>
      </c>
      <c r="K29">
        <f>[2]Panneaux!$E29</f>
        <v>1134</v>
      </c>
      <c r="L29">
        <f>[2]Panneaux!$F29</f>
        <v>1762</v>
      </c>
      <c r="M29" s="13">
        <f>[2]Panneaux!$H29</f>
        <v>0</v>
      </c>
      <c r="N29">
        <f>[2]Panneaux!$I29</f>
        <v>0</v>
      </c>
    </row>
    <row r="30" spans="2:22" x14ac:dyDescent="0.25">
      <c r="B30" t="str">
        <f>[2]Onduleurs!$A30</f>
        <v>SUN2000-36KTL</v>
      </c>
      <c r="C30" t="str">
        <f>[2]Onduleurs!$B30</f>
        <v>HUAWEI</v>
      </c>
      <c r="D30">
        <f>[2]Onduleurs!$C30</f>
        <v>36</v>
      </c>
      <c r="E30">
        <f>[2]Onduleurs!$F30</f>
        <v>270</v>
      </c>
      <c r="F30">
        <f>[2]Onduleurs!$G30</f>
        <v>600</v>
      </c>
      <c r="H30" t="str">
        <f>[2]Panneaux!$B30</f>
        <v>VERTEX 435</v>
      </c>
      <c r="I30" t="str">
        <f>[2]Panneaux!$C30</f>
        <v>TRINA SOLAR</v>
      </c>
      <c r="J30">
        <f>[2]Panneaux!$D30</f>
        <v>435</v>
      </c>
      <c r="K30">
        <f>[2]Panneaux!$E30</f>
        <v>1134</v>
      </c>
      <c r="L30">
        <f>[2]Panneaux!$F30</f>
        <v>1762</v>
      </c>
      <c r="M30" s="13">
        <f>[2]Panneaux!$H30</f>
        <v>50.4</v>
      </c>
      <c r="N30">
        <f>[2]Panneaux!$I30</f>
        <v>0</v>
      </c>
    </row>
    <row r="31" spans="2:22" x14ac:dyDescent="0.25">
      <c r="B31" t="str">
        <f>[2]Onduleurs!$A31</f>
        <v>SUN2000-40KTL</v>
      </c>
      <c r="C31" t="str">
        <f>[2]Onduleurs!$B31</f>
        <v>HUAWEI</v>
      </c>
      <c r="D31">
        <f>[2]Onduleurs!$C31</f>
        <v>40</v>
      </c>
      <c r="E31">
        <f>[2]Onduleurs!$F31</f>
        <v>270</v>
      </c>
      <c r="F31">
        <f>[2]Onduleurs!$G31</f>
        <v>600</v>
      </c>
      <c r="H31" t="str">
        <f>[2]Panneaux!$B31</f>
        <v>VERTEX S+ 440</v>
      </c>
      <c r="I31" t="str">
        <f>[2]Panneaux!$C31</f>
        <v>TRINA SOLAR</v>
      </c>
      <c r="J31">
        <f>[2]Panneaux!$D31</f>
        <v>440</v>
      </c>
      <c r="K31">
        <f>[2]Panneaux!$E31</f>
        <v>1134</v>
      </c>
      <c r="L31">
        <f>[2]Panneaux!$F31</f>
        <v>1762</v>
      </c>
      <c r="M31" s="13">
        <f>[2]Panneaux!$H31</f>
        <v>52.2</v>
      </c>
      <c r="N31">
        <f>[2]Panneaux!$I31</f>
        <v>10.67</v>
      </c>
    </row>
    <row r="32" spans="2:22" x14ac:dyDescent="0.25">
      <c r="B32" t="str">
        <f>[2]Onduleurs!$A32</f>
        <v>SUN2000-50KTL</v>
      </c>
      <c r="C32" t="str">
        <f>[2]Onduleurs!$B32</f>
        <v>HUAWEI</v>
      </c>
      <c r="D32">
        <f>[2]Onduleurs!$C32</f>
        <v>50</v>
      </c>
      <c r="E32">
        <f>[2]Onduleurs!$F32</f>
        <v>270</v>
      </c>
      <c r="F32">
        <f>[2]Onduleurs!$G32</f>
        <v>600</v>
      </c>
      <c r="H32" t="str">
        <f>[2]Panneaux!$B32</f>
        <v>VERTEX S+ 445</v>
      </c>
      <c r="I32" t="str">
        <f>[2]Panneaux!$C32</f>
        <v>TRINA SOLAR</v>
      </c>
      <c r="J32">
        <f>[2]Panneaux!$D32</f>
        <v>445</v>
      </c>
      <c r="K32">
        <f>[2]Panneaux!$E32</f>
        <v>1134</v>
      </c>
      <c r="L32">
        <f>[2]Panneaux!$F32</f>
        <v>1762</v>
      </c>
      <c r="M32" s="13">
        <f>[2]Panneaux!$H32</f>
        <v>52.6</v>
      </c>
      <c r="N32">
        <f>[2]Panneaux!$I32</f>
        <v>10.71</v>
      </c>
    </row>
    <row r="33" spans="2:13" x14ac:dyDescent="0.25">
      <c r="B33" t="str">
        <f>[2]Onduleurs!$A33</f>
        <v>SUN2000-60KTL</v>
      </c>
      <c r="C33" t="str">
        <f>[2]Onduleurs!$B33</f>
        <v>HUAWEI</v>
      </c>
      <c r="D33">
        <f>[2]Onduleurs!$C33</f>
        <v>60</v>
      </c>
      <c r="E33">
        <f>[2]Onduleurs!$F33</f>
        <v>0</v>
      </c>
      <c r="F33">
        <f>[2]Onduleurs!$G33</f>
        <v>0</v>
      </c>
      <c r="M33" s="13"/>
    </row>
    <row r="34" spans="2:13" x14ac:dyDescent="0.25">
      <c r="B34" t="str">
        <f>[2]Onduleurs!$A34</f>
        <v>SUN2000-65KTL</v>
      </c>
      <c r="C34" t="str">
        <f>[2]Onduleurs!$B34</f>
        <v>HUAWEI</v>
      </c>
      <c r="D34">
        <f>[2]Onduleurs!$C34</f>
        <v>65</v>
      </c>
      <c r="E34">
        <f>[2]Onduleurs!$F34</f>
        <v>0</v>
      </c>
      <c r="F34">
        <f>[2]Onduleurs!$G34</f>
        <v>0</v>
      </c>
      <c r="M34" s="13"/>
    </row>
    <row r="35" spans="2:13" x14ac:dyDescent="0.25">
      <c r="B35" t="str">
        <f>[2]Onduleurs!$A35</f>
        <v>SUN2000-75KTL</v>
      </c>
      <c r="C35" t="str">
        <f>[2]Onduleurs!$B35</f>
        <v>HUAWEI</v>
      </c>
      <c r="D35">
        <f>[2]Onduleurs!$C35</f>
        <v>75</v>
      </c>
      <c r="E35">
        <f>[2]Onduleurs!$F35</f>
        <v>0</v>
      </c>
      <c r="F35">
        <f>[2]Onduleurs!$G35</f>
        <v>0</v>
      </c>
      <c r="M35" s="13"/>
    </row>
    <row r="36" spans="2:13" x14ac:dyDescent="0.25">
      <c r="B36" t="str">
        <f>[2]Onduleurs!$A36</f>
        <v>SYMO 10.0-3-M</v>
      </c>
      <c r="C36" t="str">
        <f>[2]Onduleurs!$B36</f>
        <v>FRONIUS</v>
      </c>
      <c r="D36">
        <f>[2]Onduleurs!$C36</f>
        <v>10</v>
      </c>
      <c r="E36">
        <f>[2]Onduleurs!$F36</f>
        <v>0</v>
      </c>
      <c r="F36">
        <f>[2]Onduleurs!$G36</f>
        <v>0</v>
      </c>
      <c r="M36" s="13"/>
    </row>
    <row r="37" spans="2:13" x14ac:dyDescent="0.25">
      <c r="B37" t="str">
        <f>[2]Onduleurs!$A37</f>
        <v>SYMO 15.0-3-M</v>
      </c>
      <c r="C37" t="str">
        <f>[2]Onduleurs!$B37</f>
        <v>FRONIUS</v>
      </c>
      <c r="D37">
        <f>[2]Onduleurs!$C37</f>
        <v>15</v>
      </c>
      <c r="E37">
        <f>[2]Onduleurs!$F37</f>
        <v>0</v>
      </c>
      <c r="F37">
        <f>[2]Onduleurs!$G37</f>
        <v>0</v>
      </c>
    </row>
    <row r="38" spans="2:13" x14ac:dyDescent="0.25">
      <c r="B38" t="str">
        <f>[2]Onduleurs!$A38</f>
        <v>SYMO 20.0-3-M</v>
      </c>
      <c r="C38" t="str">
        <f>[2]Onduleurs!$B38</f>
        <v>FRONIUS</v>
      </c>
      <c r="D38">
        <f>[2]Onduleurs!$C38</f>
        <v>20</v>
      </c>
      <c r="E38">
        <f>[2]Onduleurs!$F38</f>
        <v>0</v>
      </c>
      <c r="F38">
        <f>[2]Onduleurs!$G38</f>
        <v>0</v>
      </c>
    </row>
    <row r="39" spans="2:13" x14ac:dyDescent="0.25">
      <c r="B39" t="str">
        <f>[2]Onduleurs!$A39</f>
        <v>SYMO 5.0-3-M</v>
      </c>
      <c r="C39" t="str">
        <f>[2]Onduleurs!$B39</f>
        <v>FRONIUS</v>
      </c>
      <c r="D39">
        <f>[2]Onduleurs!$C39</f>
        <v>5</v>
      </c>
      <c r="E39">
        <f>[2]Onduleurs!$F39</f>
        <v>0</v>
      </c>
      <c r="F39">
        <f>[2]Onduleurs!$G39</f>
        <v>0</v>
      </c>
    </row>
    <row r="40" spans="2:13" x14ac:dyDescent="0.25">
      <c r="B40" t="str">
        <f>[2]Onduleurs!$A40</f>
        <v>TAURO 50-3-D 3MPPT</v>
      </c>
      <c r="C40" t="str">
        <f>[2]Onduleurs!$B40</f>
        <v>FRONIUS</v>
      </c>
      <c r="D40">
        <f>[2]Onduleurs!$C40</f>
        <v>50</v>
      </c>
      <c r="E40">
        <f>[2]Onduleurs!$F40</f>
        <v>0</v>
      </c>
      <c r="F40">
        <f>[2]Onduleurs!$G40</f>
        <v>0</v>
      </c>
    </row>
    <row r="41" spans="2:13" x14ac:dyDescent="0.25">
      <c r="B41" t="str">
        <f>[2]Onduleurs!$A41</f>
        <v>TAURO ECO-100-3-D</v>
      </c>
      <c r="C41" t="str">
        <f>[2]Onduleurs!$B41</f>
        <v>FRONIUS</v>
      </c>
      <c r="D41">
        <f>[2]Onduleurs!$C41</f>
        <v>100</v>
      </c>
      <c r="E41">
        <f>[2]Onduleurs!$F41</f>
        <v>0</v>
      </c>
      <c r="F41">
        <f>[2]Onduleurs!$G41</f>
        <v>0</v>
      </c>
    </row>
    <row r="42" spans="2:13" x14ac:dyDescent="0.25">
      <c r="B42" t="str">
        <f>[2]Onduleurs!$A42</f>
        <v>TAURO ECO-99-P</v>
      </c>
      <c r="C42" t="str">
        <f>[2]Onduleurs!$B42</f>
        <v>FRONIUS</v>
      </c>
      <c r="D42">
        <f>[2]Onduleurs!$C42</f>
        <v>99</v>
      </c>
      <c r="E42">
        <f>[2]Onduleurs!$F42</f>
        <v>0</v>
      </c>
      <c r="F42">
        <f>[2]Onduleurs!$G42</f>
        <v>0</v>
      </c>
    </row>
    <row r="43" spans="2:13" x14ac:dyDescent="0.25">
      <c r="B43" t="str">
        <f>[2]Onduleurs!$A43</f>
        <v>TRIPOWER 17K TL10</v>
      </c>
      <c r="C43" t="str">
        <f>[2]Onduleurs!$B43</f>
        <v>SMA</v>
      </c>
      <c r="D43">
        <f>[2]Onduleurs!$C43</f>
        <v>17</v>
      </c>
      <c r="E43">
        <f>[2]Onduleurs!$F43</f>
        <v>0</v>
      </c>
      <c r="F43">
        <f>[2]Onduleurs!$G43</f>
        <v>0</v>
      </c>
    </row>
    <row r="44" spans="2:13" x14ac:dyDescent="0.25">
      <c r="B44" t="str">
        <f>[2]Onduleurs!$A44</f>
        <v>TRIPOWER STP110-60</v>
      </c>
      <c r="C44" t="str">
        <f>[2]Onduleurs!$B44</f>
        <v>SMA SUNNY</v>
      </c>
      <c r="D44">
        <f>[2]Onduleurs!$C44</f>
        <v>110</v>
      </c>
      <c r="E44">
        <f>[2]Onduleurs!$F44</f>
        <v>363</v>
      </c>
      <c r="F44">
        <f>[2]Onduleurs!$G44</f>
        <v>450</v>
      </c>
    </row>
    <row r="45" spans="2:13" x14ac:dyDescent="0.25">
      <c r="B45" t="str">
        <f>[2]Onduleurs!$A45</f>
        <v>TRIPOWER X12</v>
      </c>
      <c r="C45" t="str">
        <f>[2]Onduleurs!$B45</f>
        <v>SMA SUNNY</v>
      </c>
      <c r="D45">
        <f>[2]Onduleurs!$C45</f>
        <v>12</v>
      </c>
      <c r="E45">
        <f>[2]Onduleurs!$F45</f>
        <v>266</v>
      </c>
      <c r="F45">
        <f>[2]Onduleurs!$G45</f>
        <v>330</v>
      </c>
    </row>
    <row r="46" spans="2:13" x14ac:dyDescent="0.25">
      <c r="B46" t="str">
        <f>[2]Onduleurs!$A46</f>
        <v>TRIPOWER X15</v>
      </c>
      <c r="C46" t="str">
        <f>[2]Onduleurs!$B46</f>
        <v>SMA SUNNY</v>
      </c>
      <c r="D46">
        <f>[2]Onduleurs!$C46</f>
        <v>15</v>
      </c>
      <c r="E46">
        <f>[2]Onduleurs!$F46</f>
        <v>266</v>
      </c>
      <c r="F46">
        <f>[2]Onduleurs!$G46</f>
        <v>330</v>
      </c>
    </row>
    <row r="47" spans="2:13" x14ac:dyDescent="0.25">
      <c r="B47" t="str">
        <f>[2]Onduleurs!$A47</f>
        <v>TRIPOWER X20</v>
      </c>
      <c r="C47" t="str">
        <f>[2]Onduleurs!$B47</f>
        <v>SMA SUNNY</v>
      </c>
      <c r="D47">
        <f>[2]Onduleurs!$C47</f>
        <v>20</v>
      </c>
      <c r="E47">
        <f>[2]Onduleurs!$F47</f>
        <v>266</v>
      </c>
      <c r="F47">
        <f>[2]Onduleurs!$G47</f>
        <v>330</v>
      </c>
    </row>
  </sheetData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2EEB-CF5F-4935-9CA7-C768F469CC6A}">
  <sheetPr codeName="Feuil9"/>
  <dimension ref="A1:H22"/>
  <sheetViews>
    <sheetView zoomScale="115" zoomScaleNormal="115" workbookViewId="0">
      <selection activeCell="A5" sqref="A5"/>
    </sheetView>
  </sheetViews>
  <sheetFormatPr baseColWidth="10" defaultRowHeight="15" x14ac:dyDescent="0.25"/>
  <cols>
    <col min="1" max="1" width="67.42578125" customWidth="1"/>
    <col min="2" max="2" width="19.85546875" customWidth="1"/>
    <col min="3" max="3" width="15" customWidth="1"/>
    <col min="9" max="9" width="19.7109375" customWidth="1"/>
    <col min="10" max="10" width="10.5703125" customWidth="1"/>
    <col min="11" max="11" width="8.42578125" customWidth="1"/>
    <col min="12" max="12" width="8" customWidth="1"/>
  </cols>
  <sheetData>
    <row r="1" spans="1:8" ht="84.95" customHeight="1" x14ac:dyDescent="0.25">
      <c r="A1" s="24" t="s">
        <v>161</v>
      </c>
      <c r="B1" s="25">
        <f>1.4*36000</f>
        <v>50400</v>
      </c>
    </row>
    <row r="2" spans="1:8" ht="84.95" customHeight="1" x14ac:dyDescent="0.25">
      <c r="A2" s="24" t="s">
        <v>158</v>
      </c>
      <c r="B2" s="25">
        <v>36045</v>
      </c>
    </row>
    <row r="3" spans="1:8" ht="84.95" customHeight="1" x14ac:dyDescent="0.25">
      <c r="A3" s="28" t="s">
        <v>162</v>
      </c>
    </row>
    <row r="4" spans="1:8" ht="84.95" customHeight="1" x14ac:dyDescent="0.25">
      <c r="A4" s="24" t="s">
        <v>163</v>
      </c>
      <c r="B4" s="25">
        <v>35600</v>
      </c>
    </row>
    <row r="5" spans="1:8" ht="84.95" customHeight="1" x14ac:dyDescent="0.25"/>
    <row r="6" spans="1:8" ht="84.95" customHeight="1" x14ac:dyDescent="0.25">
      <c r="G6" s="26"/>
      <c r="H6" s="26"/>
    </row>
    <row r="7" spans="1:8" ht="84.95" customHeight="1" x14ac:dyDescent="0.25">
      <c r="G7" s="26"/>
      <c r="H7" s="26"/>
    </row>
    <row r="8" spans="1:8" ht="84.95" customHeight="1" x14ac:dyDescent="0.25">
      <c r="G8" s="26"/>
      <c r="H8" s="26"/>
    </row>
    <row r="9" spans="1:8" ht="84.95" customHeight="1" x14ac:dyDescent="0.25">
      <c r="G9" s="26"/>
      <c r="H9" s="26"/>
    </row>
    <row r="10" spans="1:8" ht="84.95" customHeight="1" x14ac:dyDescent="0.25">
      <c r="G10" s="27"/>
      <c r="H10" s="27"/>
    </row>
    <row r="11" spans="1:8" ht="84.95" customHeight="1" x14ac:dyDescent="0.25">
      <c r="G11" s="27"/>
      <c r="H11" s="27"/>
    </row>
    <row r="12" spans="1:8" ht="84.95" customHeight="1" x14ac:dyDescent="0.25"/>
    <row r="13" spans="1:8" ht="84.95" customHeight="1" x14ac:dyDescent="0.25"/>
    <row r="14" spans="1:8" ht="84.95" customHeight="1" x14ac:dyDescent="0.25"/>
    <row r="15" spans="1:8" ht="84.95" customHeight="1" x14ac:dyDescent="0.25"/>
    <row r="16" spans="1:8" ht="84.95" customHeight="1" x14ac:dyDescent="0.25"/>
    <row r="17" spans="2:4" ht="84.95" customHeight="1" x14ac:dyDescent="0.25">
      <c r="B17" s="27"/>
      <c r="C17" s="27"/>
      <c r="D17" s="27"/>
    </row>
    <row r="18" spans="2:4" ht="84.95" customHeight="1" x14ac:dyDescent="0.25">
      <c r="B18" s="27"/>
      <c r="C18" s="27"/>
      <c r="D18" s="27"/>
    </row>
    <row r="19" spans="2:4" ht="84.95" customHeight="1" x14ac:dyDescent="0.25"/>
    <row r="20" spans="2:4" ht="84.95" customHeight="1" x14ac:dyDescent="0.25"/>
    <row r="21" spans="2:4" ht="84.95" customHeight="1" x14ac:dyDescent="0.25"/>
    <row r="22" spans="2:4" ht="84.95" customHeight="1" x14ac:dyDescent="0.25"/>
  </sheetData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Prise de mesures</vt:lpstr>
      <vt:lpstr>BDD</vt:lpstr>
      <vt:lpstr>BDD_1</vt:lpstr>
      <vt:lpstr>BDD_2</vt:lpstr>
      <vt:lpstr>'Prise de mesures'!Zone_d_impression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d'études</dc:creator>
  <cp:keywords/>
  <dc:description/>
  <cp:lastModifiedBy>Didier Chavaroche</cp:lastModifiedBy>
  <cp:revision/>
  <cp:lastPrinted>2024-06-03T07:29:08Z</cp:lastPrinted>
  <dcterms:created xsi:type="dcterms:W3CDTF">2022-01-28T09:59:21Z</dcterms:created>
  <dcterms:modified xsi:type="dcterms:W3CDTF">2025-02-18T10:48:00Z</dcterms:modified>
  <cp:category/>
  <cp:contentStatus/>
</cp:coreProperties>
</file>